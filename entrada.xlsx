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6" autoFilterDateGrouping="1"/>
  </bookViews>
  <sheets>
    <sheet name="DRE" sheetId="1" state="visible" r:id="rId1"/>
    <sheet name="DFC" sheetId="2" state="visible" r:id="rId2"/>
    <sheet name="BP" sheetId="3" state="visible" r:id="rId3"/>
    <sheet name="Vendas" sheetId="4" state="visible" r:id="rId4"/>
    <sheet name="Investimentos" sheetId="5" state="visible" r:id="rId5"/>
    <sheet name="Folha" sheetId="6" state="visible" r:id="rId6"/>
    <sheet name="Financiamento" sheetId="7" state="visible" r:id="rId7"/>
    <sheet name="Custo_Despesas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yyyy\-mm\-dd\ hh:mm:ss"/>
    <numFmt numFmtId="165" formatCode="mm/yy"/>
    <numFmt numFmtId="166" formatCode="#,##0.00,_);\(#,##0.00,\);\ \-"/>
    <numFmt numFmtId="167" formatCode="0.0%"/>
    <numFmt numFmtId="168" formatCode="#,##0.00,_);(#,##0.00,); -"/>
    <numFmt numFmtId="169" formatCode="yyyy-mm-dd h:mm:ss"/>
  </numFmts>
  <fonts count="1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b val="1"/>
      <sz val="14"/>
    </font>
    <font>
      <name val="Calibri"/>
      <color rgb="FF000000"/>
      <sz val="11"/>
    </font>
    <font>
      <name val="Calibri"/>
      <b val="1"/>
      <sz val="12"/>
    </font>
    <font>
      <name val="Calibri"/>
      <b val="1"/>
      <sz val="11"/>
    </font>
    <font>
      <name val="Calibri"/>
      <b val="1"/>
      <color rgb="FFFFFFFF"/>
      <sz val="11"/>
    </font>
    <font>
      <name val="Calibri"/>
      <i val="1"/>
      <sz val="11"/>
    </font>
    <font>
      <name val="Calibri"/>
      <sz val="11"/>
    </font>
    <font>
      <b val="1"/>
      <sz val="14"/>
    </font>
    <font>
      <color rgb="00000000"/>
    </font>
    <font>
      <b val="1"/>
      <sz val="12"/>
    </font>
    <font>
      <b val="1"/>
    </font>
    <font>
      <b val="1"/>
      <color rgb="00FFFFFF"/>
    </font>
    <font>
      <i val="1"/>
    </font>
    <font/>
  </fonts>
  <fills count="9">
    <fill>
      <patternFill/>
    </fill>
    <fill>
      <patternFill patternType="gray125"/>
    </fill>
    <fill>
      <patternFill patternType="solid"/>
    </fill>
    <fill>
      <patternFill patternType="solid">
        <fgColor rgb="FFFFFFFF"/>
        <bgColor rgb="FFFFFFFF"/>
      </patternFill>
    </fill>
    <fill>
      <patternFill patternType="solid">
        <fgColor rgb="FFD3D3D3"/>
        <bgColor rgb="FFD3D3D3"/>
      </patternFill>
    </fill>
    <fill>
      <patternFill patternType="solid">
        <fgColor rgb="FFBDD7EE"/>
        <bgColor rgb="FFBDD7EE"/>
      </patternFill>
    </fill>
    <fill>
      <patternFill patternType="solid">
        <fgColor rgb="00FFFFFF"/>
        <bgColor rgb="00FFFFFF"/>
      </patternFill>
    </fill>
    <fill>
      <patternFill patternType="solid">
        <fgColor rgb="00D3D3D3"/>
        <bgColor rgb="00D3D3D3"/>
      </patternFill>
    </fill>
    <fill>
      <patternFill patternType="solid">
        <fgColor rgb="00BDD7EE"/>
        <bgColor rgb="00BDD7E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4" fontId="0" fillId="0" borderId="0" pivotButton="0" quotePrefix="0" xfId="0"/>
    <xf numFmtId="0" fontId="0" fillId="5" borderId="0" pivotButton="0" quotePrefix="0" xfId="0"/>
    <xf numFmtId="0" fontId="0" fillId="3" borderId="0" pivotButton="0" quotePrefix="0" xfId="0"/>
    <xf numFmtId="165" fontId="0" fillId="3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left"/>
    </xf>
    <xf numFmtId="166" fontId="8" fillId="3" borderId="0" applyAlignment="1" pivotButton="0" quotePrefix="0" xfId="0">
      <alignment horizontal="right"/>
    </xf>
    <xf numFmtId="0" fontId="7" fillId="3" borderId="0" applyAlignment="1" pivotButton="0" quotePrefix="0" xfId="0">
      <alignment horizontal="left"/>
    </xf>
    <xf numFmtId="167" fontId="7" fillId="3" borderId="0" applyAlignment="1" pivotButton="0" quotePrefix="0" xfId="0">
      <alignment horizontal="right"/>
    </xf>
    <xf numFmtId="0" fontId="6" fillId="2" borderId="0" pivotButton="0" quotePrefix="0" xfId="0"/>
    <xf numFmtId="0" fontId="3" fillId="3" borderId="0" pivotButton="0" quotePrefix="0" xfId="0"/>
    <xf numFmtId="4" fontId="6" fillId="2" borderId="0" pivotButton="0" quotePrefix="0" xfId="0"/>
    <xf numFmtId="0" fontId="4" fillId="3" borderId="0" pivotButton="0" quotePrefix="0" xfId="0"/>
    <xf numFmtId="0" fontId="5" fillId="4" borderId="0" applyAlignment="1" pivotButton="0" quotePrefix="0" xfId="0">
      <alignment horizontal="center"/>
    </xf>
    <xf numFmtId="165" fontId="3" fillId="3" borderId="0" pivotButton="0" quotePrefix="0" xfId="0"/>
    <xf numFmtId="165" fontId="3" fillId="3" borderId="0" applyAlignment="1" pivotButton="0" quotePrefix="0" xfId="0">
      <alignment horizontal="center"/>
    </xf>
    <xf numFmtId="4" fontId="3" fillId="3" borderId="0" pivotButton="0" quotePrefix="0" xfId="0"/>
    <xf numFmtId="0" fontId="2" fillId="5" borderId="0" applyAlignment="1" pivotButton="0" quotePrefix="0" xfId="0">
      <alignment horizontal="left"/>
    </xf>
    <xf numFmtId="0" fontId="0" fillId="5" borderId="0" pivotButton="0" quotePrefix="0" xfId="0"/>
    <xf numFmtId="0" fontId="9" fillId="8" borderId="0" applyAlignment="1" pivotButton="0" quotePrefix="0" xfId="0">
      <alignment horizontal="left"/>
    </xf>
    <xf numFmtId="0" fontId="0" fillId="8" borderId="0" pivotButton="0" quotePrefix="0" xfId="0"/>
    <xf numFmtId="0" fontId="0" fillId="6" borderId="0" pivotButton="0" quotePrefix="0" xfId="0"/>
    <xf numFmtId="165" fontId="0" fillId="6" borderId="0" applyAlignment="1" pivotButton="0" quotePrefix="0" xfId="0">
      <alignment horizontal="center" vertical="center"/>
    </xf>
    <xf numFmtId="0" fontId="12" fillId="6" borderId="0" applyAlignment="1" pivotButton="0" quotePrefix="0" xfId="0">
      <alignment horizontal="left"/>
    </xf>
    <xf numFmtId="168" fontId="15" fillId="6" borderId="0" applyAlignment="1" pivotButton="0" quotePrefix="0" xfId="0">
      <alignment horizontal="right"/>
    </xf>
    <xf numFmtId="0" fontId="14" fillId="6" borderId="0" applyAlignment="1" pivotButton="0" quotePrefix="0" xfId="0">
      <alignment horizontal="left"/>
    </xf>
    <xf numFmtId="167" fontId="14" fillId="6" borderId="0" applyAlignment="1" pivotButton="0" quotePrefix="0" xfId="0">
      <alignment horizontal="right"/>
    </xf>
    <xf numFmtId="0" fontId="13" fillId="2" borderId="0" pivotButton="0" quotePrefix="0" xfId="0"/>
    <xf numFmtId="0" fontId="10" fillId="6" borderId="0" pivotButton="0" quotePrefix="0" xfId="0"/>
    <xf numFmtId="4" fontId="13" fillId="2" borderId="0" pivotButton="0" quotePrefix="0" xfId="0"/>
    <xf numFmtId="0" fontId="11" fillId="6" borderId="0" pivotButton="0" quotePrefix="0" xfId="0"/>
    <xf numFmtId="0" fontId="12" fillId="7" borderId="0" applyAlignment="1" pivotButton="0" quotePrefix="0" xfId="0">
      <alignment horizontal="center"/>
    </xf>
    <xf numFmtId="165" fontId="10" fillId="6" borderId="0" pivotButton="0" quotePrefix="0" xfId="0"/>
    <xf numFmtId="165" fontId="10" fillId="6" borderId="0" applyAlignment="1" pivotButton="0" quotePrefix="0" xfId="0">
      <alignment horizontal="center"/>
    </xf>
    <xf numFmtId="4" fontId="10" fillId="6" borderId="0" pivotButton="0" quotePrefix="0" xfId="0"/>
    <xf numFmtId="168" fontId="15" fillId="6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6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5" customWidth="1" min="1" max="1"/>
    <col width="2.5" customWidth="1" min="2" max="2"/>
    <col width="22" customWidth="1" min="3" max="3"/>
  </cols>
  <sheetData>
    <row r="1">
      <c r="A1" s="21" t="inlineStr">
        <is>
          <t>DRE</t>
        </is>
      </c>
      <c r="B1" s="22" t="n"/>
      <c r="C1" s="22" t="n"/>
      <c r="D1" s="22" t="n"/>
      <c r="E1" s="22" t="n"/>
      <c r="F1" s="22" t="n"/>
      <c r="G1" s="22" t="n"/>
      <c r="H1" s="22" t="n"/>
      <c r="I1" s="22" t="n"/>
      <c r="J1" s="22" t="n"/>
      <c r="K1" s="22" t="n"/>
      <c r="L1" s="22" t="n"/>
      <c r="M1" s="22" t="n"/>
      <c r="N1" s="22" t="n"/>
      <c r="O1" s="22" t="n"/>
      <c r="P1" s="22" t="n"/>
    </row>
    <row r="2">
      <c r="A2" s="23" t="n"/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</row>
    <row r="3">
      <c r="A3" s="23" t="n"/>
      <c r="B3" s="23" t="n"/>
      <c r="C3" s="23" t="n"/>
      <c r="D3" s="24" t="n">
        <v>45292</v>
      </c>
      <c r="E3" s="24">
        <f>EDATE(D3, 1)</f>
        <v/>
      </c>
      <c r="F3" s="24">
        <f>EDATE(E3, 1)</f>
        <v/>
      </c>
      <c r="G3" s="24">
        <f>EDATE(F3, 1)</f>
        <v/>
      </c>
      <c r="H3" s="24">
        <f>EDATE(G3, 1)</f>
        <v/>
      </c>
      <c r="I3" s="24">
        <f>EDATE(H3, 1)</f>
        <v/>
      </c>
      <c r="J3" s="24">
        <f>EDATE(I3, 1)</f>
        <v/>
      </c>
      <c r="K3" s="24">
        <f>EDATE(J3, 1)</f>
        <v/>
      </c>
      <c r="L3" s="24">
        <f>EDATE(K3, 1)</f>
        <v/>
      </c>
      <c r="M3" s="24">
        <f>EDATE(L3, 1)</f>
        <v/>
      </c>
      <c r="N3" s="24">
        <f>EDATE(M3, 1)</f>
        <v/>
      </c>
      <c r="O3" s="24">
        <f>EDATE(N3, 1)</f>
        <v/>
      </c>
      <c r="P3" s="24">
        <f>EDATE(O3, 1)</f>
        <v/>
      </c>
    </row>
    <row r="4">
      <c r="A4" s="23" t="n"/>
      <c r="B4" s="25" t="inlineStr">
        <is>
          <t xml:space="preserve">Receita </t>
        </is>
      </c>
      <c r="C4" s="23" t="n"/>
      <c r="D4" s="37">
        <f>SUMIFS(Vendas!$E:$E,Vendas!$F:$F,"&gt;="&amp;EOMONTH(DRE!D$3,-1)+1,Vendas!$F:$F,"&lt;="&amp;EOMONTH(DRE!D$3,0))</f>
        <v/>
      </c>
      <c r="E4" s="37">
        <f>SUMIFS(Vendas!$E:$E,Vendas!$F:$F,"&gt;="&amp;EOMONTH(DRE!E$3,-1)+1,Vendas!$F:$F,"&lt;="&amp;EOMONTH(DRE!E$3,0))</f>
        <v/>
      </c>
      <c r="F4" s="37">
        <f>SUMIFS(Vendas!$E:$E,Vendas!$F:$F,"&gt;="&amp;EOMONTH(DRE!F$3,-1)+1,Vendas!$F:$F,"&lt;="&amp;EOMONTH(DRE!F$3,0))</f>
        <v/>
      </c>
      <c r="G4" s="37">
        <f>SUMIFS(Vendas!$E:$E,Vendas!$F:$F,"&gt;="&amp;EOMONTH(DRE!G$3,-1)+1,Vendas!$F:$F,"&lt;="&amp;EOMONTH(DRE!G$3,0))</f>
        <v/>
      </c>
      <c r="H4" s="37">
        <f>SUMIFS(Vendas!$E:$E,Vendas!$F:$F,"&gt;="&amp;EOMONTH(DRE!H$3,-1)+1,Vendas!$F:$F,"&lt;="&amp;EOMONTH(DRE!H$3,0))</f>
        <v/>
      </c>
      <c r="I4" s="37">
        <f>SUMIFS(Vendas!$E:$E,Vendas!$F:$F,"&gt;="&amp;EOMONTH(DRE!I$3,-1)+1,Vendas!$F:$F,"&lt;="&amp;EOMONTH(DRE!I$3,0))</f>
        <v/>
      </c>
      <c r="J4" s="37">
        <f>SUMIFS(Vendas!$E:$E,Vendas!$F:$F,"&gt;="&amp;EOMONTH(DRE!J$3,-1)+1,Vendas!$F:$F,"&lt;="&amp;EOMONTH(DRE!J$3,0))</f>
        <v/>
      </c>
      <c r="K4" s="37">
        <f>SUMIFS(Vendas!$E:$E,Vendas!$F:$F,"&gt;="&amp;EOMONTH(DRE!K$3,-1)+1,Vendas!$F:$F,"&lt;="&amp;EOMONTH(DRE!K$3,0))</f>
        <v/>
      </c>
      <c r="L4" s="37">
        <f>SUMIFS(Vendas!$E:$E,Vendas!$F:$F,"&gt;="&amp;EOMONTH(DRE!L$3,-1)+1,Vendas!$F:$F,"&lt;="&amp;EOMONTH(DRE!L$3,0))</f>
        <v/>
      </c>
      <c r="M4" s="37">
        <f>SUMIFS(Vendas!$E:$E,Vendas!$F:$F,"&gt;="&amp;EOMONTH(DRE!M$3,-1)+1,Vendas!$F:$F,"&lt;="&amp;EOMONTH(DRE!M$3,0))</f>
        <v/>
      </c>
      <c r="N4" s="37">
        <f>SUMIFS(Vendas!$E:$E,Vendas!$F:$F,"&gt;="&amp;EOMONTH(DRE!N$3,-1)+1,Vendas!$F:$F,"&lt;="&amp;EOMONTH(DRE!N$3,0))</f>
        <v/>
      </c>
      <c r="O4" s="37">
        <f>SUMIFS(Vendas!$E:$E,Vendas!$F:$F,"&gt;="&amp;EOMONTH(DRE!O$3,-1)+1,Vendas!$F:$F,"&lt;="&amp;EOMONTH(DRE!O$3,0))</f>
        <v/>
      </c>
      <c r="P4" s="37">
        <f>SUMIFS(Vendas!$E:$E,Vendas!$F:$F,"&gt;="&amp;EOMONTH(DRE!P$3,-1)+1,Vendas!$F:$F,"&lt;="&amp;EOMONTH(DRE!P$3,0))</f>
        <v/>
      </c>
    </row>
    <row r="5">
      <c r="A5" s="23" t="n"/>
      <c r="B5" s="27" t="inlineStr">
        <is>
          <t>Growth %</t>
        </is>
      </c>
      <c r="C5" s="23" t="n"/>
      <c r="D5" s="28" t="n"/>
      <c r="E5" s="28">
        <f>(E4/D4)-1</f>
        <v/>
      </c>
      <c r="F5" s="28">
        <f>(F4/E4)-1</f>
        <v/>
      </c>
      <c r="G5" s="28">
        <f>(G4/F4)-1</f>
        <v/>
      </c>
      <c r="H5" s="28">
        <f>(H4/G4)-1</f>
        <v/>
      </c>
      <c r="I5" s="28">
        <f>(I4/H4)-1</f>
        <v/>
      </c>
      <c r="J5" s="28">
        <f>(J4/I4)-1</f>
        <v/>
      </c>
      <c r="K5" s="28">
        <f>(K4/J4)-1</f>
        <v/>
      </c>
      <c r="L5" s="28">
        <f>(L4/K4)-1</f>
        <v/>
      </c>
      <c r="M5" s="28">
        <f>(M4/L4)-1</f>
        <v/>
      </c>
      <c r="N5" s="28">
        <f>(N4/M4)-1</f>
        <v/>
      </c>
      <c r="O5" s="28">
        <f>(O4/N4)-1</f>
        <v/>
      </c>
      <c r="P5" s="28">
        <f>(P4/O4)-1</f>
        <v/>
      </c>
    </row>
    <row r="6">
      <c r="A6" s="23" t="n"/>
      <c r="B6" s="23" t="n"/>
      <c r="C6" s="23" t="n"/>
      <c r="D6" s="37" t="n"/>
      <c r="E6" s="37" t="n"/>
      <c r="F6" s="37" t="n"/>
      <c r="G6" s="37" t="n"/>
      <c r="H6" s="37" t="n"/>
      <c r="I6" s="37" t="n"/>
      <c r="J6" s="37" t="n"/>
      <c r="K6" s="37" t="n"/>
      <c r="L6" s="37" t="n"/>
      <c r="M6" s="37" t="n"/>
      <c r="N6" s="37" t="n"/>
      <c r="O6" s="37" t="n"/>
      <c r="P6" s="37" t="n"/>
    </row>
    <row r="7">
      <c r="A7" s="23" t="n"/>
      <c r="B7" s="25" t="inlineStr">
        <is>
          <t>CMV (-)</t>
        </is>
      </c>
      <c r="C7" s="23" t="n"/>
      <c r="D7" s="37">
        <f>-SUM(D9, D11, D13)</f>
        <v/>
      </c>
      <c r="E7" s="37">
        <f>-SUM(E9, E11, E13)</f>
        <v/>
      </c>
      <c r="F7" s="37">
        <f>-SUM(F9, F11, F13)</f>
        <v/>
      </c>
      <c r="G7" s="37">
        <f>-SUM(G9, G11, G13)</f>
        <v/>
      </c>
      <c r="H7" s="37">
        <f>-SUM(H9, H11, H13)</f>
        <v/>
      </c>
      <c r="I7" s="37">
        <f>-SUM(I9, I11, I13)</f>
        <v/>
      </c>
      <c r="J7" s="37">
        <f>-SUM(J9, J11, J13)</f>
        <v/>
      </c>
      <c r="K7" s="37">
        <f>-SUM(K9, K11, K13)</f>
        <v/>
      </c>
      <c r="L7" s="37">
        <f>-SUM(L9, L11, L13)</f>
        <v/>
      </c>
      <c r="M7" s="37">
        <f>-SUM(M9, M11, M13)</f>
        <v/>
      </c>
      <c r="N7" s="37">
        <f>-SUM(N9, N11, N13)</f>
        <v/>
      </c>
      <c r="O7" s="37">
        <f>-SUM(O9, O11, O13)</f>
        <v/>
      </c>
      <c r="P7" s="37">
        <f>-SUM(P9, P11, P13)</f>
        <v/>
      </c>
    </row>
    <row r="8">
      <c r="A8" s="23" t="n"/>
      <c r="B8" s="27" t="inlineStr">
        <is>
          <t>% da Receita</t>
        </is>
      </c>
      <c r="C8" s="23" t="n"/>
      <c r="D8" s="28">
        <f>D7/D4</f>
        <v/>
      </c>
      <c r="E8" s="28">
        <f>E7/E4</f>
        <v/>
      </c>
      <c r="F8" s="28">
        <f>F7/F4</f>
        <v/>
      </c>
      <c r="G8" s="28">
        <f>G7/G4</f>
        <v/>
      </c>
      <c r="H8" s="28">
        <f>H7/H4</f>
        <v/>
      </c>
      <c r="I8" s="28">
        <f>I7/I4</f>
        <v/>
      </c>
      <c r="J8" s="28">
        <f>J7/J4</f>
        <v/>
      </c>
      <c r="K8" s="28">
        <f>K7/K4</f>
        <v/>
      </c>
      <c r="L8" s="28">
        <f>L7/L4</f>
        <v/>
      </c>
      <c r="M8" s="28">
        <f>M7/M4</f>
        <v/>
      </c>
      <c r="N8" s="28">
        <f>N7/N4</f>
        <v/>
      </c>
      <c r="O8" s="28">
        <f>O7/O4</f>
        <v/>
      </c>
      <c r="P8" s="28">
        <f>P7/P4</f>
        <v/>
      </c>
    </row>
    <row r="9">
      <c r="A9" s="23" t="n"/>
      <c r="B9" s="23" t="n"/>
      <c r="C9" s="25" t="inlineStr">
        <is>
          <t>Armazenagem</t>
        </is>
      </c>
      <c r="D9" s="37">
        <f>SUMIFS(Custo_Despesas!$B:$B,Custo_Despesas!$C:$C,"&gt;="&amp;EOMONTH(DRE!D$3,-1)+1,Custo_Despesas!$C:$C,"&lt;="&amp;EOMONTH(DRE!D$3,0),Custo_Despesas!$A:$A,$C9)</f>
        <v/>
      </c>
      <c r="E9" s="37">
        <f>SUMIFS(Custo_Despesas!$B:$B,Custo_Despesas!$C:$C,"&gt;="&amp;EOMONTH(DRE!E$3,-1)+1,Custo_Despesas!$C:$C,"&lt;="&amp;EOMONTH(DRE!E$3,0),Custo_Despesas!$A:$A,$C9)</f>
        <v/>
      </c>
      <c r="F9" s="37">
        <f>SUMIFS(Custo_Despesas!$B:$B,Custo_Despesas!$C:$C,"&gt;="&amp;EOMONTH(DRE!F$3,-1)+1,Custo_Despesas!$C:$C,"&lt;="&amp;EOMONTH(DRE!F$3,0),Custo_Despesas!$A:$A,$C9)</f>
        <v/>
      </c>
      <c r="G9" s="37">
        <f>SUMIFS(Custo_Despesas!$B:$B,Custo_Despesas!$C:$C,"&gt;="&amp;EOMONTH(DRE!G$3,-1)+1,Custo_Despesas!$C:$C,"&lt;="&amp;EOMONTH(DRE!G$3,0),Custo_Despesas!$A:$A,$C9)</f>
        <v/>
      </c>
      <c r="H9" s="37">
        <f>SUMIFS(Custo_Despesas!$B:$B,Custo_Despesas!$C:$C,"&gt;="&amp;EOMONTH(DRE!H$3,-1)+1,Custo_Despesas!$C:$C,"&lt;="&amp;EOMONTH(DRE!H$3,0),Custo_Despesas!$A:$A,$C9)</f>
        <v/>
      </c>
      <c r="I9" s="37">
        <f>SUMIFS(Custo_Despesas!$B:$B,Custo_Despesas!$C:$C,"&gt;="&amp;EOMONTH(DRE!I$3,-1)+1,Custo_Despesas!$C:$C,"&lt;="&amp;EOMONTH(DRE!I$3,0),Custo_Despesas!$A:$A,$C9)</f>
        <v/>
      </c>
      <c r="J9" s="37">
        <f>SUMIFS(Custo_Despesas!$B:$B,Custo_Despesas!$C:$C,"&gt;="&amp;EOMONTH(DRE!J$3,-1)+1,Custo_Despesas!$C:$C,"&lt;="&amp;EOMONTH(DRE!J$3,0),Custo_Despesas!$A:$A,$C9)</f>
        <v/>
      </c>
      <c r="K9" s="37">
        <f>SUMIFS(Custo_Despesas!$B:$B,Custo_Despesas!$C:$C,"&gt;="&amp;EOMONTH(DRE!K$3,-1)+1,Custo_Despesas!$C:$C,"&lt;="&amp;EOMONTH(DRE!K$3,0),Custo_Despesas!$A:$A,$C9)</f>
        <v/>
      </c>
      <c r="L9" s="37">
        <f>SUMIFS(Custo_Despesas!$B:$B,Custo_Despesas!$C:$C,"&gt;="&amp;EOMONTH(DRE!L$3,-1)+1,Custo_Despesas!$C:$C,"&lt;="&amp;EOMONTH(DRE!L$3,0),Custo_Despesas!$A:$A,$C9)</f>
        <v/>
      </c>
      <c r="M9" s="37">
        <f>SUMIFS(Custo_Despesas!$B:$B,Custo_Despesas!$C:$C,"&gt;="&amp;EOMONTH(DRE!M$3,-1)+1,Custo_Despesas!$C:$C,"&lt;="&amp;EOMONTH(DRE!M$3,0),Custo_Despesas!$A:$A,$C9)</f>
        <v/>
      </c>
      <c r="N9" s="37">
        <f>SUMIFS(Custo_Despesas!$B:$B,Custo_Despesas!$C:$C,"&gt;="&amp;EOMONTH(DRE!N$3,-1)+1,Custo_Despesas!$C:$C,"&lt;="&amp;EOMONTH(DRE!N$3,0),Custo_Despesas!$A:$A,$C9)</f>
        <v/>
      </c>
      <c r="O9" s="37">
        <f>SUMIFS(Custo_Despesas!$B:$B,Custo_Despesas!$C:$C,"&gt;="&amp;EOMONTH(DRE!O$3,-1)+1,Custo_Despesas!$C:$C,"&lt;="&amp;EOMONTH(DRE!O$3,0),Custo_Despesas!$A:$A,$C9)</f>
        <v/>
      </c>
      <c r="P9" s="37">
        <f>SUMIFS(Custo_Despesas!$B:$B,Custo_Despesas!$C:$C,"&gt;="&amp;EOMONTH(DRE!P$3,-1)+1,Custo_Despesas!$C:$C,"&lt;="&amp;EOMONTH(DRE!P$3,0),Custo_Despesas!$A:$A,$C9)</f>
        <v/>
      </c>
    </row>
    <row r="10">
      <c r="A10" s="23" t="n"/>
      <c r="B10" s="23" t="n"/>
      <c r="C10" s="27" t="inlineStr">
        <is>
          <t>% da Receita</t>
        </is>
      </c>
      <c r="D10" s="28">
        <f>D9/D4</f>
        <v/>
      </c>
      <c r="E10" s="28">
        <f>E9/E4</f>
        <v/>
      </c>
      <c r="F10" s="28">
        <f>F9/F4</f>
        <v/>
      </c>
      <c r="G10" s="28">
        <f>G9/G4</f>
        <v/>
      </c>
      <c r="H10" s="28">
        <f>H9/H4</f>
        <v/>
      </c>
      <c r="I10" s="28">
        <f>I9/I4</f>
        <v/>
      </c>
      <c r="J10" s="28">
        <f>J9/J4</f>
        <v/>
      </c>
      <c r="K10" s="28">
        <f>K9/K4</f>
        <v/>
      </c>
      <c r="L10" s="28">
        <f>L9/L4</f>
        <v/>
      </c>
      <c r="M10" s="28">
        <f>M9/M4</f>
        <v/>
      </c>
      <c r="N10" s="28">
        <f>N9/N4</f>
        <v/>
      </c>
      <c r="O10" s="28">
        <f>O9/O4</f>
        <v/>
      </c>
      <c r="P10" s="28">
        <f>P9/P4</f>
        <v/>
      </c>
    </row>
    <row r="11">
      <c r="A11" s="23" t="n"/>
      <c r="B11" s="23" t="n"/>
      <c r="C11" s="25" t="inlineStr">
        <is>
          <t>Frete</t>
        </is>
      </c>
      <c r="D11" s="37">
        <f>SUMIFS(Custo_Despesas!$B:$B,Custo_Despesas!$C:$C,"&gt;="&amp;EOMONTH(DRE!D$3,-1)+1,Custo_Despesas!$C:$C,"&lt;="&amp;EOMONTH(DRE!D$3,0),Custo_Despesas!$A:$A,$C11)</f>
        <v/>
      </c>
      <c r="E11" s="37">
        <f>SUMIFS(Custo_Despesas!$B:$B,Custo_Despesas!$C:$C,"&gt;="&amp;EOMONTH(DRE!E$3,-1)+1,Custo_Despesas!$C:$C,"&lt;="&amp;EOMONTH(DRE!E$3,0),Custo_Despesas!$A:$A,$C11)</f>
        <v/>
      </c>
      <c r="F11" s="37">
        <f>SUMIFS(Custo_Despesas!$B:$B,Custo_Despesas!$C:$C,"&gt;="&amp;EOMONTH(DRE!F$3,-1)+1,Custo_Despesas!$C:$C,"&lt;="&amp;EOMONTH(DRE!F$3,0),Custo_Despesas!$A:$A,$C11)</f>
        <v/>
      </c>
      <c r="G11" s="37">
        <f>SUMIFS(Custo_Despesas!$B:$B,Custo_Despesas!$C:$C,"&gt;="&amp;EOMONTH(DRE!G$3,-1)+1,Custo_Despesas!$C:$C,"&lt;="&amp;EOMONTH(DRE!G$3,0),Custo_Despesas!$A:$A,$C11)</f>
        <v/>
      </c>
      <c r="H11" s="37">
        <f>SUMIFS(Custo_Despesas!$B:$B,Custo_Despesas!$C:$C,"&gt;="&amp;EOMONTH(DRE!H$3,-1)+1,Custo_Despesas!$C:$C,"&lt;="&amp;EOMONTH(DRE!H$3,0),Custo_Despesas!$A:$A,$C11)</f>
        <v/>
      </c>
      <c r="I11" s="37">
        <f>SUMIFS(Custo_Despesas!$B:$B,Custo_Despesas!$C:$C,"&gt;="&amp;EOMONTH(DRE!I$3,-1)+1,Custo_Despesas!$C:$C,"&lt;="&amp;EOMONTH(DRE!I$3,0),Custo_Despesas!$A:$A,$C11)</f>
        <v/>
      </c>
      <c r="J11" s="37">
        <f>SUMIFS(Custo_Despesas!$B:$B,Custo_Despesas!$C:$C,"&gt;="&amp;EOMONTH(DRE!J$3,-1)+1,Custo_Despesas!$C:$C,"&lt;="&amp;EOMONTH(DRE!J$3,0),Custo_Despesas!$A:$A,$C11)</f>
        <v/>
      </c>
      <c r="K11" s="37">
        <f>SUMIFS(Custo_Despesas!$B:$B,Custo_Despesas!$C:$C,"&gt;="&amp;EOMONTH(DRE!K$3,-1)+1,Custo_Despesas!$C:$C,"&lt;="&amp;EOMONTH(DRE!K$3,0),Custo_Despesas!$A:$A,$C11)</f>
        <v/>
      </c>
      <c r="L11" s="37">
        <f>SUMIFS(Custo_Despesas!$B:$B,Custo_Despesas!$C:$C,"&gt;="&amp;EOMONTH(DRE!L$3,-1)+1,Custo_Despesas!$C:$C,"&lt;="&amp;EOMONTH(DRE!L$3,0),Custo_Despesas!$A:$A,$C11)</f>
        <v/>
      </c>
      <c r="M11" s="37">
        <f>SUMIFS(Custo_Despesas!$B:$B,Custo_Despesas!$C:$C,"&gt;="&amp;EOMONTH(DRE!M$3,-1)+1,Custo_Despesas!$C:$C,"&lt;="&amp;EOMONTH(DRE!M$3,0),Custo_Despesas!$A:$A,$C11)</f>
        <v/>
      </c>
      <c r="N11" s="37">
        <f>SUMIFS(Custo_Despesas!$B:$B,Custo_Despesas!$C:$C,"&gt;="&amp;EOMONTH(DRE!N$3,-1)+1,Custo_Despesas!$C:$C,"&lt;="&amp;EOMONTH(DRE!N$3,0),Custo_Despesas!$A:$A,$C11)</f>
        <v/>
      </c>
      <c r="O11" s="37">
        <f>SUMIFS(Custo_Despesas!$B:$B,Custo_Despesas!$C:$C,"&gt;="&amp;EOMONTH(DRE!O$3,-1)+1,Custo_Despesas!$C:$C,"&lt;="&amp;EOMONTH(DRE!O$3,0),Custo_Despesas!$A:$A,$C11)</f>
        <v/>
      </c>
      <c r="P11" s="37">
        <f>SUMIFS(Custo_Despesas!$B:$B,Custo_Despesas!$C:$C,"&gt;="&amp;EOMONTH(DRE!P$3,-1)+1,Custo_Despesas!$C:$C,"&lt;="&amp;EOMONTH(DRE!P$3,0),Custo_Despesas!$A:$A,$C11)</f>
        <v/>
      </c>
    </row>
    <row r="12">
      <c r="A12" s="23" t="n"/>
      <c r="B12" s="23" t="n"/>
      <c r="C12" s="27" t="inlineStr">
        <is>
          <t>% da Receita</t>
        </is>
      </c>
      <c r="D12" s="28">
        <f>D11/D4</f>
        <v/>
      </c>
      <c r="E12" s="28">
        <f>E11/E4</f>
        <v/>
      </c>
      <c r="F12" s="28">
        <f>F11/F4</f>
        <v/>
      </c>
      <c r="G12" s="28">
        <f>G11/G4</f>
        <v/>
      </c>
      <c r="H12" s="28">
        <f>H11/H4</f>
        <v/>
      </c>
      <c r="I12" s="28">
        <f>I11/I4</f>
        <v/>
      </c>
      <c r="J12" s="28">
        <f>J11/J4</f>
        <v/>
      </c>
      <c r="K12" s="28">
        <f>K11/K4</f>
        <v/>
      </c>
      <c r="L12" s="28">
        <f>L11/L4</f>
        <v/>
      </c>
      <c r="M12" s="28">
        <f>M11/M4</f>
        <v/>
      </c>
      <c r="N12" s="28">
        <f>N11/N4</f>
        <v/>
      </c>
      <c r="O12" s="28">
        <f>O11/O4</f>
        <v/>
      </c>
      <c r="P12" s="28">
        <f>P11/P4</f>
        <v/>
      </c>
    </row>
    <row r="13">
      <c r="A13" s="23" t="n"/>
      <c r="B13" s="23" t="n"/>
      <c r="C13" s="25" t="inlineStr">
        <is>
          <t>Matéria-prima</t>
        </is>
      </c>
      <c r="D13" s="37">
        <f>SUMIFS(Custo_Despesas!$B:$B,Custo_Despesas!$C:$C,"&gt;="&amp;EOMONTH(DRE!D$3,-1)+1,Custo_Despesas!$C:$C,"&lt;="&amp;EOMONTH(DRE!D$3,0),Custo_Despesas!$A:$A,$C13)</f>
        <v/>
      </c>
      <c r="E13" s="37">
        <f>SUMIFS(Custo_Despesas!$B:$B,Custo_Despesas!$C:$C,"&gt;="&amp;EOMONTH(DRE!E$3,-1)+1,Custo_Despesas!$C:$C,"&lt;="&amp;EOMONTH(DRE!E$3,0),Custo_Despesas!$A:$A,$C13)</f>
        <v/>
      </c>
      <c r="F13" s="37">
        <f>SUMIFS(Custo_Despesas!$B:$B,Custo_Despesas!$C:$C,"&gt;="&amp;EOMONTH(DRE!F$3,-1)+1,Custo_Despesas!$C:$C,"&lt;="&amp;EOMONTH(DRE!F$3,0),Custo_Despesas!$A:$A,$C13)</f>
        <v/>
      </c>
      <c r="G13" s="37">
        <f>SUMIFS(Custo_Despesas!$B:$B,Custo_Despesas!$C:$C,"&gt;="&amp;EOMONTH(DRE!G$3,-1)+1,Custo_Despesas!$C:$C,"&lt;="&amp;EOMONTH(DRE!G$3,0),Custo_Despesas!$A:$A,$C13)</f>
        <v/>
      </c>
      <c r="H13" s="37">
        <f>SUMIFS(Custo_Despesas!$B:$B,Custo_Despesas!$C:$C,"&gt;="&amp;EOMONTH(DRE!H$3,-1)+1,Custo_Despesas!$C:$C,"&lt;="&amp;EOMONTH(DRE!H$3,0),Custo_Despesas!$A:$A,$C13)</f>
        <v/>
      </c>
      <c r="I13" s="37">
        <f>SUMIFS(Custo_Despesas!$B:$B,Custo_Despesas!$C:$C,"&gt;="&amp;EOMONTH(DRE!I$3,-1)+1,Custo_Despesas!$C:$C,"&lt;="&amp;EOMONTH(DRE!I$3,0),Custo_Despesas!$A:$A,$C13)</f>
        <v/>
      </c>
      <c r="J13" s="37">
        <f>SUMIFS(Custo_Despesas!$B:$B,Custo_Despesas!$C:$C,"&gt;="&amp;EOMONTH(DRE!J$3,-1)+1,Custo_Despesas!$C:$C,"&lt;="&amp;EOMONTH(DRE!J$3,0),Custo_Despesas!$A:$A,$C13)</f>
        <v/>
      </c>
      <c r="K13" s="37">
        <f>SUMIFS(Custo_Despesas!$B:$B,Custo_Despesas!$C:$C,"&gt;="&amp;EOMONTH(DRE!K$3,-1)+1,Custo_Despesas!$C:$C,"&lt;="&amp;EOMONTH(DRE!K$3,0),Custo_Despesas!$A:$A,$C13)</f>
        <v/>
      </c>
      <c r="L13" s="37">
        <f>SUMIFS(Custo_Despesas!$B:$B,Custo_Despesas!$C:$C,"&gt;="&amp;EOMONTH(DRE!L$3,-1)+1,Custo_Despesas!$C:$C,"&lt;="&amp;EOMONTH(DRE!L$3,0),Custo_Despesas!$A:$A,$C13)</f>
        <v/>
      </c>
      <c r="M13" s="37">
        <f>SUMIFS(Custo_Despesas!$B:$B,Custo_Despesas!$C:$C,"&gt;="&amp;EOMONTH(DRE!M$3,-1)+1,Custo_Despesas!$C:$C,"&lt;="&amp;EOMONTH(DRE!M$3,0),Custo_Despesas!$A:$A,$C13)</f>
        <v/>
      </c>
      <c r="N13" s="37">
        <f>SUMIFS(Custo_Despesas!$B:$B,Custo_Despesas!$C:$C,"&gt;="&amp;EOMONTH(DRE!N$3,-1)+1,Custo_Despesas!$C:$C,"&lt;="&amp;EOMONTH(DRE!N$3,0),Custo_Despesas!$A:$A,$C13)</f>
        <v/>
      </c>
      <c r="O13" s="37">
        <f>SUMIFS(Custo_Despesas!$B:$B,Custo_Despesas!$C:$C,"&gt;="&amp;EOMONTH(DRE!O$3,-1)+1,Custo_Despesas!$C:$C,"&lt;="&amp;EOMONTH(DRE!O$3,0),Custo_Despesas!$A:$A,$C13)</f>
        <v/>
      </c>
      <c r="P13" s="37">
        <f>SUMIFS(Custo_Despesas!$B:$B,Custo_Despesas!$C:$C,"&gt;="&amp;EOMONTH(DRE!P$3,-1)+1,Custo_Despesas!$C:$C,"&lt;="&amp;EOMONTH(DRE!P$3,0),Custo_Despesas!$A:$A,$C13)</f>
        <v/>
      </c>
    </row>
    <row r="14">
      <c r="A14" s="23" t="n"/>
      <c r="B14" s="23" t="n"/>
      <c r="C14" s="27" t="inlineStr">
        <is>
          <t>% da Receita</t>
        </is>
      </c>
      <c r="D14" s="28">
        <f>D13/D4</f>
        <v/>
      </c>
      <c r="E14" s="28">
        <f>E13/E4</f>
        <v/>
      </c>
      <c r="F14" s="28">
        <f>F13/F4</f>
        <v/>
      </c>
      <c r="G14" s="28">
        <f>G13/G4</f>
        <v/>
      </c>
      <c r="H14" s="28">
        <f>H13/H4</f>
        <v/>
      </c>
      <c r="I14" s="28">
        <f>I13/I4</f>
        <v/>
      </c>
      <c r="J14" s="28">
        <f>J13/J4</f>
        <v/>
      </c>
      <c r="K14" s="28">
        <f>K13/K4</f>
        <v/>
      </c>
      <c r="L14" s="28">
        <f>L13/L4</f>
        <v/>
      </c>
      <c r="M14" s="28">
        <f>M13/M4</f>
        <v/>
      </c>
      <c r="N14" s="28">
        <f>N13/N4</f>
        <v/>
      </c>
      <c r="O14" s="28">
        <f>O13/O4</f>
        <v/>
      </c>
      <c r="P14" s="28">
        <f>P13/P4</f>
        <v/>
      </c>
    </row>
    <row r="15">
      <c r="A15" s="23" t="n"/>
      <c r="B15" s="23" t="n"/>
      <c r="C15" s="23" t="n"/>
      <c r="D15" s="37" t="n"/>
      <c r="E15" s="37" t="n"/>
      <c r="F15" s="37" t="n"/>
      <c r="G15" s="37" t="n"/>
      <c r="H15" s="37" t="n"/>
      <c r="I15" s="37" t="n"/>
      <c r="J15" s="37" t="n"/>
      <c r="K15" s="37" t="n"/>
      <c r="L15" s="37" t="n"/>
      <c r="M15" s="37" t="n"/>
      <c r="N15" s="37" t="n"/>
      <c r="O15" s="37" t="n"/>
      <c r="P15" s="37" t="n"/>
    </row>
    <row r="16">
      <c r="A16" s="23" t="n"/>
      <c r="B16" s="25" t="inlineStr">
        <is>
          <t>Lucro bruto</t>
        </is>
      </c>
      <c r="C16" s="23" t="n"/>
      <c r="D16" s="37">
        <f>D4+D7</f>
        <v/>
      </c>
      <c r="E16" s="37">
        <f>E4+E7</f>
        <v/>
      </c>
      <c r="F16" s="37">
        <f>F4+F7</f>
        <v/>
      </c>
      <c r="G16" s="37">
        <f>G4+G7</f>
        <v/>
      </c>
      <c r="H16" s="37">
        <f>H4+H7</f>
        <v/>
      </c>
      <c r="I16" s="37">
        <f>I4+I7</f>
        <v/>
      </c>
      <c r="J16" s="37">
        <f>J4+J7</f>
        <v/>
      </c>
      <c r="K16" s="37">
        <f>K4+K7</f>
        <v/>
      </c>
      <c r="L16" s="37">
        <f>L4+L7</f>
        <v/>
      </c>
      <c r="M16" s="37">
        <f>M4+M7</f>
        <v/>
      </c>
      <c r="N16" s="37">
        <f>N4+N7</f>
        <v/>
      </c>
      <c r="O16" s="37">
        <f>O4+O7</f>
        <v/>
      </c>
      <c r="P16" s="37">
        <f>P4+P7</f>
        <v/>
      </c>
    </row>
    <row r="17">
      <c r="A17" s="23" t="n"/>
      <c r="B17" s="27" t="inlineStr">
        <is>
          <t>Margem Bruta %</t>
        </is>
      </c>
      <c r="C17" s="23" t="n"/>
      <c r="D17" s="28">
        <f>D16/D4</f>
        <v/>
      </c>
      <c r="E17" s="28">
        <f>E16/E4</f>
        <v/>
      </c>
      <c r="F17" s="28">
        <f>F16/F4</f>
        <v/>
      </c>
      <c r="G17" s="28">
        <f>G16/G4</f>
        <v/>
      </c>
      <c r="H17" s="28">
        <f>H16/H4</f>
        <v/>
      </c>
      <c r="I17" s="28">
        <f>I16/I4</f>
        <v/>
      </c>
      <c r="J17" s="28">
        <f>J16/J4</f>
        <v/>
      </c>
      <c r="K17" s="28">
        <f>K16/K4</f>
        <v/>
      </c>
      <c r="L17" s="28">
        <f>L16/L4</f>
        <v/>
      </c>
      <c r="M17" s="28">
        <f>M16/M4</f>
        <v/>
      </c>
      <c r="N17" s="28">
        <f>N16/N4</f>
        <v/>
      </c>
      <c r="O17" s="28">
        <f>O16/O4</f>
        <v/>
      </c>
      <c r="P17" s="28">
        <f>P16/P4</f>
        <v/>
      </c>
    </row>
    <row r="18">
      <c r="A18" s="23" t="n"/>
      <c r="B18" s="23" t="n"/>
      <c r="C18" s="23" t="n"/>
      <c r="D18" s="37" t="n"/>
      <c r="E18" s="37" t="n"/>
      <c r="F18" s="37" t="n"/>
      <c r="G18" s="37" t="n"/>
      <c r="H18" s="37" t="n"/>
      <c r="I18" s="37" t="n"/>
      <c r="J18" s="37" t="n"/>
      <c r="K18" s="37" t="n"/>
      <c r="L18" s="37" t="n"/>
      <c r="M18" s="37" t="n"/>
      <c r="N18" s="37" t="n"/>
      <c r="O18" s="37" t="n"/>
      <c r="P18" s="37" t="n"/>
    </row>
    <row r="19">
      <c r="A19" s="23" t="n"/>
      <c r="B19" s="25" t="inlineStr">
        <is>
          <t>SG&amp;A (-)</t>
        </is>
      </c>
      <c r="C19" s="23" t="n"/>
      <c r="D19" s="37">
        <f>-SUM(D21, D23, D25, D27)</f>
        <v/>
      </c>
      <c r="E19" s="37">
        <f>-SUM(E21, E23, E25, E27)</f>
        <v/>
      </c>
      <c r="F19" s="37">
        <f>-SUM(F21, F23, F25, F27)</f>
        <v/>
      </c>
      <c r="G19" s="37">
        <f>-SUM(G21, G23, G25, G27)</f>
        <v/>
      </c>
      <c r="H19" s="37">
        <f>-SUM(H21, H23, H25, H27)</f>
        <v/>
      </c>
      <c r="I19" s="37">
        <f>-SUM(I21, I23, I25, I27)</f>
        <v/>
      </c>
      <c r="J19" s="37">
        <f>-SUM(J21, J23, J25, J27)</f>
        <v/>
      </c>
      <c r="K19" s="37">
        <f>-SUM(K21, K23, K25, K27)</f>
        <v/>
      </c>
      <c r="L19" s="37">
        <f>-SUM(L21, L23, L25, L27)</f>
        <v/>
      </c>
      <c r="M19" s="37">
        <f>-SUM(M21, M23, M25, M27)</f>
        <v/>
      </c>
      <c r="N19" s="37">
        <f>-SUM(N21, N23, N25, N27)</f>
        <v/>
      </c>
      <c r="O19" s="37">
        <f>-SUM(O21, O23, O25, O27)</f>
        <v/>
      </c>
      <c r="P19" s="37">
        <f>-SUM(P21, P23, P25, P27)</f>
        <v/>
      </c>
    </row>
    <row r="20">
      <c r="A20" s="23" t="n"/>
      <c r="B20" s="23" t="n"/>
      <c r="C20" s="23" t="n"/>
      <c r="D20" s="37" t="n"/>
      <c r="E20" s="37" t="n"/>
      <c r="F20" s="37" t="n"/>
      <c r="G20" s="37" t="n"/>
      <c r="H20" s="37" t="n"/>
      <c r="I20" s="37" t="n"/>
      <c r="J20" s="37" t="n"/>
      <c r="K20" s="37" t="n"/>
      <c r="L20" s="37" t="n"/>
      <c r="M20" s="37" t="n"/>
      <c r="N20" s="37" t="n"/>
      <c r="O20" s="37" t="n"/>
      <c r="P20" s="37" t="n"/>
    </row>
    <row r="21">
      <c r="A21" s="23" t="n"/>
      <c r="B21" s="23" t="n"/>
      <c r="C21" s="25" t="inlineStr">
        <is>
          <t>Marketing</t>
        </is>
      </c>
      <c r="D21" s="37">
        <f>SUMIFS(Custo_Despesas!$B:$B,Custo_Despesas!$C:$C,"&gt;="&amp;EOMONTH(DRE!D$3,-1)+1,Custo_Despesas!$C:$C,"&lt;="&amp;EOMONTH(DRE!D$3,0),Custo_Despesas!$A:$A,$C21)</f>
        <v/>
      </c>
      <c r="E21" s="37">
        <f>SUMIFS(Custo_Despesas!$B:$B,Custo_Despesas!$C:$C,"&gt;="&amp;EOMONTH(DRE!E$3,-1)+1,Custo_Despesas!$C:$C,"&lt;="&amp;EOMONTH(DRE!E$3,0),Custo_Despesas!$A:$A,$C21)</f>
        <v/>
      </c>
      <c r="F21" s="37">
        <f>SUMIFS(Custo_Despesas!$B:$B,Custo_Despesas!$C:$C,"&gt;="&amp;EOMONTH(DRE!F$3,-1)+1,Custo_Despesas!$C:$C,"&lt;="&amp;EOMONTH(DRE!F$3,0),Custo_Despesas!$A:$A,$C21)</f>
        <v/>
      </c>
      <c r="G21" s="37">
        <f>SUMIFS(Custo_Despesas!$B:$B,Custo_Despesas!$C:$C,"&gt;="&amp;EOMONTH(DRE!G$3,-1)+1,Custo_Despesas!$C:$C,"&lt;="&amp;EOMONTH(DRE!G$3,0),Custo_Despesas!$A:$A,$C21)</f>
        <v/>
      </c>
      <c r="H21" s="37">
        <f>SUMIFS(Custo_Despesas!$B:$B,Custo_Despesas!$C:$C,"&gt;="&amp;EOMONTH(DRE!H$3,-1)+1,Custo_Despesas!$C:$C,"&lt;="&amp;EOMONTH(DRE!H$3,0),Custo_Despesas!$A:$A,$C21)</f>
        <v/>
      </c>
      <c r="I21" s="37">
        <f>SUMIFS(Custo_Despesas!$B:$B,Custo_Despesas!$C:$C,"&gt;="&amp;EOMONTH(DRE!I$3,-1)+1,Custo_Despesas!$C:$C,"&lt;="&amp;EOMONTH(DRE!I$3,0),Custo_Despesas!$A:$A,$C21)</f>
        <v/>
      </c>
      <c r="J21" s="37">
        <f>SUMIFS(Custo_Despesas!$B:$B,Custo_Despesas!$C:$C,"&gt;="&amp;EOMONTH(DRE!J$3,-1)+1,Custo_Despesas!$C:$C,"&lt;="&amp;EOMONTH(DRE!J$3,0),Custo_Despesas!$A:$A,$C21)</f>
        <v/>
      </c>
      <c r="K21" s="37">
        <f>SUMIFS(Custo_Despesas!$B:$B,Custo_Despesas!$C:$C,"&gt;="&amp;EOMONTH(DRE!K$3,-1)+1,Custo_Despesas!$C:$C,"&lt;="&amp;EOMONTH(DRE!K$3,0),Custo_Despesas!$A:$A,$C21)</f>
        <v/>
      </c>
      <c r="L21" s="37">
        <f>SUMIFS(Custo_Despesas!$B:$B,Custo_Despesas!$C:$C,"&gt;="&amp;EOMONTH(DRE!L$3,-1)+1,Custo_Despesas!$C:$C,"&lt;="&amp;EOMONTH(DRE!L$3,0),Custo_Despesas!$A:$A,$C21)</f>
        <v/>
      </c>
      <c r="M21" s="37">
        <f>SUMIFS(Custo_Despesas!$B:$B,Custo_Despesas!$C:$C,"&gt;="&amp;EOMONTH(DRE!M$3,-1)+1,Custo_Despesas!$C:$C,"&lt;="&amp;EOMONTH(DRE!M$3,0),Custo_Despesas!$A:$A,$C21)</f>
        <v/>
      </c>
      <c r="N21" s="37">
        <f>SUMIFS(Custo_Despesas!$B:$B,Custo_Despesas!$C:$C,"&gt;="&amp;EOMONTH(DRE!N$3,-1)+1,Custo_Despesas!$C:$C,"&lt;="&amp;EOMONTH(DRE!N$3,0),Custo_Despesas!$A:$A,$C21)</f>
        <v/>
      </c>
      <c r="O21" s="37">
        <f>SUMIFS(Custo_Despesas!$B:$B,Custo_Despesas!$C:$C,"&gt;="&amp;EOMONTH(DRE!O$3,-1)+1,Custo_Despesas!$C:$C,"&lt;="&amp;EOMONTH(DRE!O$3,0),Custo_Despesas!$A:$A,$C21)</f>
        <v/>
      </c>
      <c r="P21" s="37">
        <f>SUMIFS(Custo_Despesas!$B:$B,Custo_Despesas!$C:$C,"&gt;="&amp;EOMONTH(DRE!P$3,-1)+1,Custo_Despesas!$C:$C,"&lt;="&amp;EOMONTH(DRE!P$3,0),Custo_Despesas!$A:$A,$C21)</f>
        <v/>
      </c>
    </row>
    <row r="22">
      <c r="A22" s="23" t="n"/>
      <c r="B22" s="23" t="n"/>
      <c r="C22" s="27" t="inlineStr">
        <is>
          <t>% da Receita</t>
        </is>
      </c>
      <c r="D22" s="28">
        <f>D21/D4</f>
        <v/>
      </c>
      <c r="E22" s="28">
        <f>E21/E4</f>
        <v/>
      </c>
      <c r="F22" s="28">
        <f>F21/F4</f>
        <v/>
      </c>
      <c r="G22" s="28">
        <f>G21/G4</f>
        <v/>
      </c>
      <c r="H22" s="28">
        <f>H21/H4</f>
        <v/>
      </c>
      <c r="I22" s="28">
        <f>I21/I4</f>
        <v/>
      </c>
      <c r="J22" s="28">
        <f>J21/J4</f>
        <v/>
      </c>
      <c r="K22" s="28">
        <f>K21/K4</f>
        <v/>
      </c>
      <c r="L22" s="28">
        <f>L21/L4</f>
        <v/>
      </c>
      <c r="M22" s="28">
        <f>M21/M4</f>
        <v/>
      </c>
      <c r="N22" s="28">
        <f>N21/N4</f>
        <v/>
      </c>
      <c r="O22" s="28">
        <f>O21/O4</f>
        <v/>
      </c>
      <c r="P22" s="28">
        <f>P21/P4</f>
        <v/>
      </c>
    </row>
    <row r="23">
      <c r="A23" s="23" t="n"/>
      <c r="B23" s="23" t="n"/>
      <c r="C23" s="25" t="inlineStr">
        <is>
          <t>Comercial</t>
        </is>
      </c>
      <c r="D23" s="37">
        <f>SUMIFS(Custo_Despesas!$B:$B,Custo_Despesas!$C:$C,"&gt;="&amp;EOMONTH(DRE!D$3,-1)+1,Custo_Despesas!$C:$C,"&lt;="&amp;EOMONTH(DRE!D$3,0),Custo_Despesas!$A:$A,$C23)</f>
        <v/>
      </c>
      <c r="E23" s="37">
        <f>SUMIFS(Custo_Despesas!$B:$B,Custo_Despesas!$C:$C,"&gt;="&amp;EOMONTH(DRE!E$3,-1)+1,Custo_Despesas!$C:$C,"&lt;="&amp;EOMONTH(DRE!E$3,0),Custo_Despesas!$A:$A,$C23)</f>
        <v/>
      </c>
      <c r="F23" s="37">
        <f>SUMIFS(Custo_Despesas!$B:$B,Custo_Despesas!$C:$C,"&gt;="&amp;EOMONTH(DRE!F$3,-1)+1,Custo_Despesas!$C:$C,"&lt;="&amp;EOMONTH(DRE!F$3,0),Custo_Despesas!$A:$A,$C23)</f>
        <v/>
      </c>
      <c r="G23" s="37">
        <f>SUMIFS(Custo_Despesas!$B:$B,Custo_Despesas!$C:$C,"&gt;="&amp;EOMONTH(DRE!G$3,-1)+1,Custo_Despesas!$C:$C,"&lt;="&amp;EOMONTH(DRE!G$3,0),Custo_Despesas!$A:$A,$C23)</f>
        <v/>
      </c>
      <c r="H23" s="37">
        <f>SUMIFS(Custo_Despesas!$B:$B,Custo_Despesas!$C:$C,"&gt;="&amp;EOMONTH(DRE!H$3,-1)+1,Custo_Despesas!$C:$C,"&lt;="&amp;EOMONTH(DRE!H$3,0),Custo_Despesas!$A:$A,$C23)</f>
        <v/>
      </c>
      <c r="I23" s="37">
        <f>SUMIFS(Custo_Despesas!$B:$B,Custo_Despesas!$C:$C,"&gt;="&amp;EOMONTH(DRE!I$3,-1)+1,Custo_Despesas!$C:$C,"&lt;="&amp;EOMONTH(DRE!I$3,0),Custo_Despesas!$A:$A,$C23)</f>
        <v/>
      </c>
      <c r="J23" s="37">
        <f>SUMIFS(Custo_Despesas!$B:$B,Custo_Despesas!$C:$C,"&gt;="&amp;EOMONTH(DRE!J$3,-1)+1,Custo_Despesas!$C:$C,"&lt;="&amp;EOMONTH(DRE!J$3,0),Custo_Despesas!$A:$A,$C23)</f>
        <v/>
      </c>
      <c r="K23" s="37">
        <f>SUMIFS(Custo_Despesas!$B:$B,Custo_Despesas!$C:$C,"&gt;="&amp;EOMONTH(DRE!K$3,-1)+1,Custo_Despesas!$C:$C,"&lt;="&amp;EOMONTH(DRE!K$3,0),Custo_Despesas!$A:$A,$C23)</f>
        <v/>
      </c>
      <c r="L23" s="37">
        <f>SUMIFS(Custo_Despesas!$B:$B,Custo_Despesas!$C:$C,"&gt;="&amp;EOMONTH(DRE!L$3,-1)+1,Custo_Despesas!$C:$C,"&lt;="&amp;EOMONTH(DRE!L$3,0),Custo_Despesas!$A:$A,$C23)</f>
        <v/>
      </c>
      <c r="M23" s="37">
        <f>SUMIFS(Custo_Despesas!$B:$B,Custo_Despesas!$C:$C,"&gt;="&amp;EOMONTH(DRE!M$3,-1)+1,Custo_Despesas!$C:$C,"&lt;="&amp;EOMONTH(DRE!M$3,0),Custo_Despesas!$A:$A,$C23)</f>
        <v/>
      </c>
      <c r="N23" s="37">
        <f>SUMIFS(Custo_Despesas!$B:$B,Custo_Despesas!$C:$C,"&gt;="&amp;EOMONTH(DRE!N$3,-1)+1,Custo_Despesas!$C:$C,"&lt;="&amp;EOMONTH(DRE!N$3,0),Custo_Despesas!$A:$A,$C23)</f>
        <v/>
      </c>
      <c r="O23" s="37">
        <f>SUMIFS(Custo_Despesas!$B:$B,Custo_Despesas!$C:$C,"&gt;="&amp;EOMONTH(DRE!O$3,-1)+1,Custo_Despesas!$C:$C,"&lt;="&amp;EOMONTH(DRE!O$3,0),Custo_Despesas!$A:$A,$C23)</f>
        <v/>
      </c>
      <c r="P23" s="37">
        <f>SUMIFS(Custo_Despesas!$B:$B,Custo_Despesas!$C:$C,"&gt;="&amp;EOMONTH(DRE!P$3,-1)+1,Custo_Despesas!$C:$C,"&lt;="&amp;EOMONTH(DRE!P$3,0),Custo_Despesas!$A:$A,$C23)</f>
        <v/>
      </c>
    </row>
    <row r="24">
      <c r="A24" s="23" t="n"/>
      <c r="B24" s="23" t="n"/>
      <c r="C24" s="27" t="inlineStr">
        <is>
          <t>% da Receita</t>
        </is>
      </c>
      <c r="D24" s="28">
        <f>D23/D4</f>
        <v/>
      </c>
      <c r="E24" s="28">
        <f>E23/E4</f>
        <v/>
      </c>
      <c r="F24" s="28">
        <f>F23/F4</f>
        <v/>
      </c>
      <c r="G24" s="28">
        <f>G23/G4</f>
        <v/>
      </c>
      <c r="H24" s="28">
        <f>H23/H4</f>
        <v/>
      </c>
      <c r="I24" s="28">
        <f>I23/I4</f>
        <v/>
      </c>
      <c r="J24" s="28">
        <f>J23/J4</f>
        <v/>
      </c>
      <c r="K24" s="28">
        <f>K23/K4</f>
        <v/>
      </c>
      <c r="L24" s="28">
        <f>L23/L4</f>
        <v/>
      </c>
      <c r="M24" s="28">
        <f>M23/M4</f>
        <v/>
      </c>
      <c r="N24" s="28">
        <f>N23/N4</f>
        <v/>
      </c>
      <c r="O24" s="28">
        <f>O23/O4</f>
        <v/>
      </c>
      <c r="P24" s="28">
        <f>P23/P4</f>
        <v/>
      </c>
    </row>
    <row r="25">
      <c r="A25" s="23" t="n"/>
      <c r="B25" s="23" t="n"/>
      <c r="C25" s="25" t="inlineStr">
        <is>
          <t>Administrativo</t>
        </is>
      </c>
      <c r="D25" s="37">
        <f>SUMIFS(Custo_Despesas!$B:$B,Custo_Despesas!$C:$C,"&gt;="&amp;EOMONTH(DRE!D$3,-1)+1,Custo_Despesas!$C:$C,"&lt;="&amp;EOMONTH(DRE!D$3,0),Custo_Despesas!$A:$A,$C25)</f>
        <v/>
      </c>
      <c r="E25" s="37">
        <f>SUMIFS(Custo_Despesas!$B:$B,Custo_Despesas!$C:$C,"&gt;="&amp;EOMONTH(DRE!E$3,-1)+1,Custo_Despesas!$C:$C,"&lt;="&amp;EOMONTH(DRE!E$3,0),Custo_Despesas!$A:$A,$C25)</f>
        <v/>
      </c>
      <c r="F25" s="37">
        <f>SUMIFS(Custo_Despesas!$B:$B,Custo_Despesas!$C:$C,"&gt;="&amp;EOMONTH(DRE!F$3,-1)+1,Custo_Despesas!$C:$C,"&lt;="&amp;EOMONTH(DRE!F$3,0),Custo_Despesas!$A:$A,$C25)</f>
        <v/>
      </c>
      <c r="G25" s="37">
        <f>SUMIFS(Custo_Despesas!$B:$B,Custo_Despesas!$C:$C,"&gt;="&amp;EOMONTH(DRE!G$3,-1)+1,Custo_Despesas!$C:$C,"&lt;="&amp;EOMONTH(DRE!G$3,0),Custo_Despesas!$A:$A,$C25)</f>
        <v/>
      </c>
      <c r="H25" s="37">
        <f>SUMIFS(Custo_Despesas!$B:$B,Custo_Despesas!$C:$C,"&gt;="&amp;EOMONTH(DRE!H$3,-1)+1,Custo_Despesas!$C:$C,"&lt;="&amp;EOMONTH(DRE!H$3,0),Custo_Despesas!$A:$A,$C25)</f>
        <v/>
      </c>
      <c r="I25" s="37">
        <f>SUMIFS(Custo_Despesas!$B:$B,Custo_Despesas!$C:$C,"&gt;="&amp;EOMONTH(DRE!I$3,-1)+1,Custo_Despesas!$C:$C,"&lt;="&amp;EOMONTH(DRE!I$3,0),Custo_Despesas!$A:$A,$C25)</f>
        <v/>
      </c>
      <c r="J25" s="37">
        <f>SUMIFS(Custo_Despesas!$B:$B,Custo_Despesas!$C:$C,"&gt;="&amp;EOMONTH(DRE!J$3,-1)+1,Custo_Despesas!$C:$C,"&lt;="&amp;EOMONTH(DRE!J$3,0),Custo_Despesas!$A:$A,$C25)</f>
        <v/>
      </c>
      <c r="K25" s="37">
        <f>SUMIFS(Custo_Despesas!$B:$B,Custo_Despesas!$C:$C,"&gt;="&amp;EOMONTH(DRE!K$3,-1)+1,Custo_Despesas!$C:$C,"&lt;="&amp;EOMONTH(DRE!K$3,0),Custo_Despesas!$A:$A,$C25)</f>
        <v/>
      </c>
      <c r="L25" s="37">
        <f>SUMIFS(Custo_Despesas!$B:$B,Custo_Despesas!$C:$C,"&gt;="&amp;EOMONTH(DRE!L$3,-1)+1,Custo_Despesas!$C:$C,"&lt;="&amp;EOMONTH(DRE!L$3,0),Custo_Despesas!$A:$A,$C25)</f>
        <v/>
      </c>
      <c r="M25" s="37">
        <f>SUMIFS(Custo_Despesas!$B:$B,Custo_Despesas!$C:$C,"&gt;="&amp;EOMONTH(DRE!M$3,-1)+1,Custo_Despesas!$C:$C,"&lt;="&amp;EOMONTH(DRE!M$3,0),Custo_Despesas!$A:$A,$C25)</f>
        <v/>
      </c>
      <c r="N25" s="37">
        <f>SUMIFS(Custo_Despesas!$B:$B,Custo_Despesas!$C:$C,"&gt;="&amp;EOMONTH(DRE!N$3,-1)+1,Custo_Despesas!$C:$C,"&lt;="&amp;EOMONTH(DRE!N$3,0),Custo_Despesas!$A:$A,$C25)</f>
        <v/>
      </c>
      <c r="O25" s="37">
        <f>SUMIFS(Custo_Despesas!$B:$B,Custo_Despesas!$C:$C,"&gt;="&amp;EOMONTH(DRE!O$3,-1)+1,Custo_Despesas!$C:$C,"&lt;="&amp;EOMONTH(DRE!O$3,0),Custo_Despesas!$A:$A,$C25)</f>
        <v/>
      </c>
      <c r="P25" s="37">
        <f>SUMIFS(Custo_Despesas!$B:$B,Custo_Despesas!$C:$C,"&gt;="&amp;EOMONTH(DRE!P$3,-1)+1,Custo_Despesas!$C:$C,"&lt;="&amp;EOMONTH(DRE!P$3,0),Custo_Despesas!$A:$A,$C25)</f>
        <v/>
      </c>
    </row>
    <row r="26">
      <c r="A26" s="23" t="n"/>
      <c r="B26" s="23" t="n"/>
      <c r="C26" s="27" t="inlineStr">
        <is>
          <t>% da Receita</t>
        </is>
      </c>
      <c r="D26" s="28">
        <f>D25/D4</f>
        <v/>
      </c>
      <c r="E26" s="28">
        <f>E25/E4</f>
        <v/>
      </c>
      <c r="F26" s="28">
        <f>F25/F4</f>
        <v/>
      </c>
      <c r="G26" s="28">
        <f>G25/G4</f>
        <v/>
      </c>
      <c r="H26" s="28">
        <f>H25/H4</f>
        <v/>
      </c>
      <c r="I26" s="28">
        <f>I25/I4</f>
        <v/>
      </c>
      <c r="J26" s="28">
        <f>J25/J4</f>
        <v/>
      </c>
      <c r="K26" s="28">
        <f>K25/K4</f>
        <v/>
      </c>
      <c r="L26" s="28">
        <f>L25/L4</f>
        <v/>
      </c>
      <c r="M26" s="28">
        <f>M25/M4</f>
        <v/>
      </c>
      <c r="N26" s="28">
        <f>N25/N4</f>
        <v/>
      </c>
      <c r="O26" s="28">
        <f>O25/O4</f>
        <v/>
      </c>
      <c r="P26" s="28">
        <f>P25/P4</f>
        <v/>
      </c>
    </row>
    <row r="27">
      <c r="A27" s="23" t="n"/>
      <c r="B27" s="23" t="n"/>
      <c r="C27" s="25" t="inlineStr">
        <is>
          <t>Folha</t>
        </is>
      </c>
      <c r="D27" s="37">
        <f>SUMIFS(Folha!$C:$C, Folha!$A:$A, "&gt;= " &amp; EOMONTH(DRE!D$3, -1) + 1, Folha!$A:$A, "&lt;= " &amp; EOMONTH(DRE!D$3, 0))+SUMIFS(Folha!$D:$D, Folha!$A:$A, "&gt;= " &amp; EOMONTH(DRE!D$3, -1) + 1, Folha!$A:$A, "&lt;= " &amp; EOMONTH(DRE!D$3, 0))+SUMIFS(Folha!$E:$E, Folha!$A:$A, "&gt;= " &amp; EOMONTH(DRE!D$3, -1) + 1, Folha!$A:$A, "&lt;= " &amp; EOMONTH(DRE!D$3, 0))</f>
        <v/>
      </c>
      <c r="E27" s="37">
        <f>SUMIFS(Folha!$C:$C, Folha!$A:$A, "&gt;= " &amp; EOMONTH(DRE!E$3, -1) + 1, Folha!$A:$A, "&lt;= " &amp; EOMONTH(DRE!E$3, 0))+SUMIFS(Folha!$D:$D, Folha!$A:$A, "&gt;= " &amp; EOMONTH(DRE!E$3, -1) + 1, Folha!$A:$A, "&lt;= " &amp; EOMONTH(DRE!E$3, 0))+SUMIFS(Folha!$E:$E, Folha!$A:$A, "&gt;= " &amp; EOMONTH(DRE!E$3, -1) + 1, Folha!$A:$A, "&lt;= " &amp; EOMONTH(DRE!E$3, 0))</f>
        <v/>
      </c>
      <c r="F27" s="37">
        <f>SUMIFS(Folha!$C:$C, Folha!$A:$A, "&gt;= " &amp; EOMONTH(DRE!F$3, -1) + 1, Folha!$A:$A, "&lt;= " &amp; EOMONTH(DRE!F$3, 0))+SUMIFS(Folha!$D:$D, Folha!$A:$A, "&gt;= " &amp; EOMONTH(DRE!F$3, -1) + 1, Folha!$A:$A, "&lt;= " &amp; EOMONTH(DRE!F$3, 0))+SUMIFS(Folha!$E:$E, Folha!$A:$A, "&gt;= " &amp; EOMONTH(DRE!F$3, -1) + 1, Folha!$A:$A, "&lt;= " &amp; EOMONTH(DRE!F$3, 0))</f>
        <v/>
      </c>
      <c r="G27" s="37">
        <f>SUMIFS(Folha!$C:$C, Folha!$A:$A, "&gt;= " &amp; EOMONTH(DRE!G$3, -1) + 1, Folha!$A:$A, "&lt;= " &amp; EOMONTH(DRE!G$3, 0))+SUMIFS(Folha!$D:$D, Folha!$A:$A, "&gt;= " &amp; EOMONTH(DRE!G$3, -1) + 1, Folha!$A:$A, "&lt;= " &amp; EOMONTH(DRE!G$3, 0))+SUMIFS(Folha!$E:$E, Folha!$A:$A, "&gt;= " &amp; EOMONTH(DRE!G$3, -1) + 1, Folha!$A:$A, "&lt;= " &amp; EOMONTH(DRE!G$3, 0))</f>
        <v/>
      </c>
      <c r="H27" s="37">
        <f>SUMIFS(Folha!$C:$C, Folha!$A:$A, "&gt;= " &amp; EOMONTH(DRE!H$3, -1) + 1, Folha!$A:$A, "&lt;= " &amp; EOMONTH(DRE!H$3, 0))+SUMIFS(Folha!$D:$D, Folha!$A:$A, "&gt;= " &amp; EOMONTH(DRE!H$3, -1) + 1, Folha!$A:$A, "&lt;= " &amp; EOMONTH(DRE!H$3, 0))+SUMIFS(Folha!$E:$E, Folha!$A:$A, "&gt;= " &amp; EOMONTH(DRE!H$3, -1) + 1, Folha!$A:$A, "&lt;= " &amp; EOMONTH(DRE!H$3, 0))</f>
        <v/>
      </c>
      <c r="I27" s="37">
        <f>SUMIFS(Folha!$C:$C, Folha!$A:$A, "&gt;= " &amp; EOMONTH(DRE!I$3, -1) + 1, Folha!$A:$A, "&lt;= " &amp; EOMONTH(DRE!I$3, 0))+SUMIFS(Folha!$D:$D, Folha!$A:$A, "&gt;= " &amp; EOMONTH(DRE!I$3, -1) + 1, Folha!$A:$A, "&lt;= " &amp; EOMONTH(DRE!I$3, 0))+SUMIFS(Folha!$E:$E, Folha!$A:$A, "&gt;= " &amp; EOMONTH(DRE!I$3, -1) + 1, Folha!$A:$A, "&lt;= " &amp; EOMONTH(DRE!I$3, 0))</f>
        <v/>
      </c>
      <c r="J27" s="37">
        <f>SUMIFS(Folha!$C:$C, Folha!$A:$A, "&gt;= " &amp; EOMONTH(DRE!J$3, -1) + 1, Folha!$A:$A, "&lt;= " &amp; EOMONTH(DRE!J$3, 0))+SUMIFS(Folha!$D:$D, Folha!$A:$A, "&gt;= " &amp; EOMONTH(DRE!J$3, -1) + 1, Folha!$A:$A, "&lt;= " &amp; EOMONTH(DRE!J$3, 0))+SUMIFS(Folha!$E:$E, Folha!$A:$A, "&gt;= " &amp; EOMONTH(DRE!J$3, -1) + 1, Folha!$A:$A, "&lt;= " &amp; EOMONTH(DRE!J$3, 0))</f>
        <v/>
      </c>
      <c r="K27" s="37">
        <f>SUMIFS(Folha!$C:$C, Folha!$A:$A, "&gt;= " &amp; EOMONTH(DRE!K$3, -1) + 1, Folha!$A:$A, "&lt;= " &amp; EOMONTH(DRE!K$3, 0))+SUMIFS(Folha!$D:$D, Folha!$A:$A, "&gt;= " &amp; EOMONTH(DRE!K$3, -1) + 1, Folha!$A:$A, "&lt;= " &amp; EOMONTH(DRE!K$3, 0))+SUMIFS(Folha!$E:$E, Folha!$A:$A, "&gt;= " &amp; EOMONTH(DRE!K$3, -1) + 1, Folha!$A:$A, "&lt;= " &amp; EOMONTH(DRE!K$3, 0))</f>
        <v/>
      </c>
      <c r="L27" s="37">
        <f>SUMIFS(Folha!$C:$C, Folha!$A:$A, "&gt;= " &amp; EOMONTH(DRE!L$3, -1) + 1, Folha!$A:$A, "&lt;= " &amp; EOMONTH(DRE!L$3, 0))+SUMIFS(Folha!$D:$D, Folha!$A:$A, "&gt;= " &amp; EOMONTH(DRE!L$3, -1) + 1, Folha!$A:$A, "&lt;= " &amp; EOMONTH(DRE!L$3, 0))+SUMIFS(Folha!$E:$E, Folha!$A:$A, "&gt;= " &amp; EOMONTH(DRE!L$3, -1) + 1, Folha!$A:$A, "&lt;= " &amp; EOMONTH(DRE!L$3, 0))</f>
        <v/>
      </c>
      <c r="M27" s="37">
        <f>SUMIFS(Folha!$C:$C, Folha!$A:$A, "&gt;= " &amp; EOMONTH(DRE!M$3, -1) + 1, Folha!$A:$A, "&lt;= " &amp; EOMONTH(DRE!M$3, 0))+SUMIFS(Folha!$D:$D, Folha!$A:$A, "&gt;= " &amp; EOMONTH(DRE!M$3, -1) + 1, Folha!$A:$A, "&lt;= " &amp; EOMONTH(DRE!M$3, 0))+SUMIFS(Folha!$E:$E, Folha!$A:$A, "&gt;= " &amp; EOMONTH(DRE!M$3, -1) + 1, Folha!$A:$A, "&lt;= " &amp; EOMONTH(DRE!M$3, 0))</f>
        <v/>
      </c>
      <c r="N27" s="37">
        <f>SUMIFS(Folha!$C:$C, Folha!$A:$A, "&gt;= " &amp; EOMONTH(DRE!N$3, -1) + 1, Folha!$A:$A, "&lt;= " &amp; EOMONTH(DRE!N$3, 0))+SUMIFS(Folha!$D:$D, Folha!$A:$A, "&gt;= " &amp; EOMONTH(DRE!N$3, -1) + 1, Folha!$A:$A, "&lt;= " &amp; EOMONTH(DRE!N$3, 0))+SUMIFS(Folha!$E:$E, Folha!$A:$A, "&gt;= " &amp; EOMONTH(DRE!N$3, -1) + 1, Folha!$A:$A, "&lt;= " &amp; EOMONTH(DRE!N$3, 0))</f>
        <v/>
      </c>
      <c r="O27" s="37">
        <f>SUMIFS(Folha!$C:$C, Folha!$A:$A, "&gt;= " &amp; EOMONTH(DRE!O$3, -1) + 1, Folha!$A:$A, "&lt;= " &amp; EOMONTH(DRE!O$3, 0))+SUMIFS(Folha!$D:$D, Folha!$A:$A, "&gt;= " &amp; EOMONTH(DRE!O$3, -1) + 1, Folha!$A:$A, "&lt;= " &amp; EOMONTH(DRE!O$3, 0))+SUMIFS(Folha!$E:$E, Folha!$A:$A, "&gt;= " &amp; EOMONTH(DRE!O$3, -1) + 1, Folha!$A:$A, "&lt;= " &amp; EOMONTH(DRE!O$3, 0))</f>
        <v/>
      </c>
      <c r="P27" s="37">
        <f>SUMIFS(Folha!$C:$C, Folha!$A:$A, "&gt;= " &amp; EOMONTH(DRE!P$3, -1) + 1, Folha!$A:$A, "&lt;= " &amp; EOMONTH(DRE!P$3, 0))+SUMIFS(Folha!$D:$D, Folha!$A:$A, "&gt;= " &amp; EOMONTH(DRE!P$3, -1) + 1, Folha!$A:$A, "&lt;= " &amp; EOMONTH(DRE!P$3, 0))+SUMIFS(Folha!$E:$E, Folha!$A:$A, "&gt;= " &amp; EOMONTH(DRE!P$3, -1) + 1, Folha!$A:$A, "&lt;= " &amp; EOMONTH(DRE!P$3, 0))</f>
        <v/>
      </c>
    </row>
    <row r="28">
      <c r="A28" s="23" t="n"/>
      <c r="B28" s="23" t="n"/>
      <c r="C28" s="27" t="inlineStr">
        <is>
          <t>% da Receita</t>
        </is>
      </c>
      <c r="D28" s="28">
        <f>D27/D4</f>
        <v/>
      </c>
      <c r="E28" s="28">
        <f>E27/E4</f>
        <v/>
      </c>
      <c r="F28" s="28">
        <f>F27/F4</f>
        <v/>
      </c>
      <c r="G28" s="28">
        <f>G27/G4</f>
        <v/>
      </c>
      <c r="H28" s="28">
        <f>H27/H4</f>
        <v/>
      </c>
      <c r="I28" s="28">
        <f>I27/I4</f>
        <v/>
      </c>
      <c r="J28" s="28">
        <f>J27/J4</f>
        <v/>
      </c>
      <c r="K28" s="28">
        <f>K27/K4</f>
        <v/>
      </c>
      <c r="L28" s="28">
        <f>L27/L4</f>
        <v/>
      </c>
      <c r="M28" s="28">
        <f>M27/M4</f>
        <v/>
      </c>
      <c r="N28" s="28">
        <f>N27/N4</f>
        <v/>
      </c>
      <c r="O28" s="28">
        <f>O27/O4</f>
        <v/>
      </c>
      <c r="P28" s="28">
        <f>P27/P4</f>
        <v/>
      </c>
    </row>
    <row r="29">
      <c r="A29" s="23" t="n"/>
      <c r="B29" s="23" t="n"/>
      <c r="C29" s="23" t="n"/>
      <c r="D29" s="37" t="n"/>
      <c r="E29" s="37" t="n"/>
      <c r="F29" s="37" t="n"/>
      <c r="G29" s="37" t="n"/>
      <c r="H29" s="37" t="n"/>
      <c r="I29" s="37" t="n"/>
      <c r="J29" s="37" t="n"/>
      <c r="K29" s="37" t="n"/>
      <c r="L29" s="37" t="n"/>
      <c r="M29" s="37" t="n"/>
      <c r="N29" s="37" t="n"/>
      <c r="O29" s="37" t="n"/>
      <c r="P29" s="37" t="n"/>
    </row>
    <row r="30">
      <c r="A30" s="23" t="n"/>
      <c r="B30" s="25" t="inlineStr">
        <is>
          <t>EBITDA</t>
        </is>
      </c>
      <c r="C30" s="23" t="n"/>
      <c r="D30" s="37">
        <f>D4+D7+D19</f>
        <v/>
      </c>
      <c r="E30" s="37">
        <f>E4+E7+E19</f>
        <v/>
      </c>
      <c r="F30" s="37">
        <f>F4+F7+F19</f>
        <v/>
      </c>
      <c r="G30" s="37">
        <f>G4+G7+G19</f>
        <v/>
      </c>
      <c r="H30" s="37">
        <f>H4+H7+H19</f>
        <v/>
      </c>
      <c r="I30" s="37">
        <f>I4+I7+I19</f>
        <v/>
      </c>
      <c r="J30" s="37">
        <f>J4+J7+J19</f>
        <v/>
      </c>
      <c r="K30" s="37">
        <f>K4+K7+K19</f>
        <v/>
      </c>
      <c r="L30" s="37">
        <f>L4+L7+L19</f>
        <v/>
      </c>
      <c r="M30" s="37">
        <f>M4+M7+M19</f>
        <v/>
      </c>
      <c r="N30" s="37">
        <f>N4+N7+N19</f>
        <v/>
      </c>
      <c r="O30" s="37">
        <f>O4+O7+O19</f>
        <v/>
      </c>
      <c r="P30" s="37">
        <f>P4+P7+P19</f>
        <v/>
      </c>
    </row>
    <row r="31">
      <c r="A31" s="23" t="n"/>
      <c r="B31" s="27" t="inlineStr">
        <is>
          <t>Margem EBITDA %</t>
        </is>
      </c>
      <c r="C31" s="23" t="n"/>
      <c r="D31" s="28">
        <f>D30/D4</f>
        <v/>
      </c>
      <c r="E31" s="28">
        <f>E30/E4</f>
        <v/>
      </c>
      <c r="F31" s="28">
        <f>F30/F4</f>
        <v/>
      </c>
      <c r="G31" s="28">
        <f>G30/G4</f>
        <v/>
      </c>
      <c r="H31" s="28">
        <f>H30/H4</f>
        <v/>
      </c>
      <c r="I31" s="28">
        <f>I30/I4</f>
        <v/>
      </c>
      <c r="J31" s="28">
        <f>J30/J4</f>
        <v/>
      </c>
      <c r="K31" s="28">
        <f>K30/K4</f>
        <v/>
      </c>
      <c r="L31" s="28">
        <f>L30/L4</f>
        <v/>
      </c>
      <c r="M31" s="28">
        <f>M30/M4</f>
        <v/>
      </c>
      <c r="N31" s="28">
        <f>N30/N4</f>
        <v/>
      </c>
      <c r="O31" s="28">
        <f>O30/O4</f>
        <v/>
      </c>
      <c r="P31" s="28">
        <f>P30/P4</f>
        <v/>
      </c>
    </row>
    <row r="32">
      <c r="A32" s="23" t="n"/>
      <c r="B32" s="23" t="n"/>
      <c r="C32" s="23" t="n"/>
      <c r="D32" s="37" t="n"/>
      <c r="E32" s="37" t="n"/>
      <c r="F32" s="37" t="n"/>
      <c r="G32" s="37" t="n"/>
      <c r="H32" s="37" t="n"/>
      <c r="I32" s="37" t="n"/>
      <c r="J32" s="37" t="n"/>
      <c r="K32" s="37" t="n"/>
      <c r="L32" s="37" t="n"/>
      <c r="M32" s="37" t="n"/>
      <c r="N32" s="37" t="n"/>
      <c r="O32" s="37" t="n"/>
      <c r="P32" s="37" t="n"/>
    </row>
    <row r="33">
      <c r="A33" s="23" t="n"/>
      <c r="B33" s="25" t="inlineStr">
        <is>
          <t>D&amp;A (-)</t>
        </is>
      </c>
      <c r="C33" s="23" t="n"/>
      <c r="D33" s="37">
        <f>-Investimentos!J1</f>
        <v/>
      </c>
      <c r="E33" s="37">
        <f>-Investimentos!K1</f>
        <v/>
      </c>
      <c r="F33" s="37">
        <f>-Investimentos!L1</f>
        <v/>
      </c>
      <c r="G33" s="37">
        <f>-Investimentos!M1</f>
        <v/>
      </c>
      <c r="H33" s="37">
        <f>-Investimentos!N1</f>
        <v/>
      </c>
      <c r="I33" s="37">
        <f>-Investimentos!O1</f>
        <v/>
      </c>
      <c r="J33" s="37">
        <f>-Investimentos!P1</f>
        <v/>
      </c>
      <c r="K33" s="37">
        <f>-Investimentos!Q1</f>
        <v/>
      </c>
      <c r="L33" s="37">
        <f>-Investimentos!R1</f>
        <v/>
      </c>
      <c r="M33" s="37">
        <f>-Investimentos!S1</f>
        <v/>
      </c>
      <c r="N33" s="37">
        <f>-Investimentos!T1</f>
        <v/>
      </c>
      <c r="O33" s="37">
        <f>-Investimentos!U1</f>
        <v/>
      </c>
      <c r="P33" s="37">
        <f>-Investimentos!V1</f>
        <v/>
      </c>
    </row>
    <row r="34">
      <c r="A34" s="23" t="n"/>
      <c r="B34" s="23" t="n"/>
      <c r="C34" s="23" t="n"/>
      <c r="D34" s="37" t="n"/>
      <c r="E34" s="37" t="n"/>
      <c r="F34" s="37" t="n"/>
      <c r="G34" s="37" t="n"/>
      <c r="H34" s="37" t="n"/>
      <c r="I34" s="37" t="n"/>
      <c r="J34" s="37" t="n"/>
      <c r="K34" s="37" t="n"/>
      <c r="L34" s="37" t="n"/>
      <c r="M34" s="37" t="n"/>
      <c r="N34" s="37" t="n"/>
      <c r="O34" s="37" t="n"/>
      <c r="P34" s="37" t="n"/>
    </row>
    <row r="35">
      <c r="A35" s="23" t="n"/>
      <c r="B35" s="25" t="inlineStr">
        <is>
          <t>EBIT</t>
        </is>
      </c>
      <c r="C35" s="23" t="n"/>
      <c r="D35" s="37">
        <f>D30+D33</f>
        <v/>
      </c>
      <c r="E35" s="37">
        <f>E30+E33</f>
        <v/>
      </c>
      <c r="F35" s="37">
        <f>F30+F33</f>
        <v/>
      </c>
      <c r="G35" s="37">
        <f>G30+G33</f>
        <v/>
      </c>
      <c r="H35" s="37">
        <f>H30+H33</f>
        <v/>
      </c>
      <c r="I35" s="37">
        <f>I30+I33</f>
        <v/>
      </c>
      <c r="J35" s="37">
        <f>J30+J33</f>
        <v/>
      </c>
      <c r="K35" s="37">
        <f>K30+K33</f>
        <v/>
      </c>
      <c r="L35" s="37">
        <f>L30+L33</f>
        <v/>
      </c>
      <c r="M35" s="37">
        <f>M30+M33</f>
        <v/>
      </c>
      <c r="N35" s="37">
        <f>N30+N33</f>
        <v/>
      </c>
      <c r="O35" s="37">
        <f>O30+O33</f>
        <v/>
      </c>
      <c r="P35" s="37">
        <f>P30+P33</f>
        <v/>
      </c>
    </row>
    <row r="36">
      <c r="A36" s="23" t="n"/>
      <c r="B36" s="27" t="inlineStr">
        <is>
          <t>Margem Operacional %</t>
        </is>
      </c>
      <c r="C36" s="23" t="n"/>
      <c r="D36" s="28">
        <f>D35/D4</f>
        <v/>
      </c>
      <c r="E36" s="28">
        <f>E35/E4</f>
        <v/>
      </c>
      <c r="F36" s="28">
        <f>F35/F4</f>
        <v/>
      </c>
      <c r="G36" s="28">
        <f>G35/G4</f>
        <v/>
      </c>
      <c r="H36" s="28">
        <f>H35/H4</f>
        <v/>
      </c>
      <c r="I36" s="28">
        <f>I35/I4</f>
        <v/>
      </c>
      <c r="J36" s="28">
        <f>J35/J4</f>
        <v/>
      </c>
      <c r="K36" s="28">
        <f>K35/K4</f>
        <v/>
      </c>
      <c r="L36" s="28">
        <f>L35/L4</f>
        <v/>
      </c>
      <c r="M36" s="28">
        <f>M35/M4</f>
        <v/>
      </c>
      <c r="N36" s="28">
        <f>N35/N4</f>
        <v/>
      </c>
      <c r="O36" s="28">
        <f>O35/O4</f>
        <v/>
      </c>
      <c r="P36" s="28">
        <f>P35/P4</f>
        <v/>
      </c>
    </row>
    <row r="37">
      <c r="A37" s="23" t="n"/>
      <c r="B37" s="23" t="n"/>
      <c r="C37" s="23" t="n"/>
      <c r="D37" s="37" t="n"/>
      <c r="E37" s="37" t="n"/>
      <c r="F37" s="37" t="n"/>
      <c r="G37" s="37" t="n"/>
      <c r="H37" s="37" t="n"/>
      <c r="I37" s="37" t="n"/>
      <c r="J37" s="37" t="n"/>
      <c r="K37" s="37" t="n"/>
      <c r="L37" s="37" t="n"/>
      <c r="M37" s="37" t="n"/>
      <c r="N37" s="37" t="n"/>
      <c r="O37" s="37" t="n"/>
      <c r="P37" s="37" t="n"/>
    </row>
    <row r="38">
      <c r="A38" s="23" t="n"/>
      <c r="B38" s="25" t="inlineStr">
        <is>
          <t>Juros (-)</t>
        </is>
      </c>
      <c r="C38" s="23" t="n"/>
      <c r="D38" s="37">
        <f>IFERROR(-Financiamento!J$5, 0)</f>
        <v/>
      </c>
      <c r="E38" s="37">
        <f>IFERROR(-Financiamento!K$5, 0)</f>
        <v/>
      </c>
      <c r="F38" s="37">
        <f>IFERROR(-Financiamento!L$5, 0)</f>
        <v/>
      </c>
      <c r="G38" s="37">
        <f>IFERROR(-Financiamento!M$5, 0)</f>
        <v/>
      </c>
      <c r="H38" s="37">
        <f>IFERROR(-Financiamento!N$5, 0)</f>
        <v/>
      </c>
      <c r="I38" s="37">
        <f>IFERROR(-Financiamento!O$5, 0)</f>
        <v/>
      </c>
      <c r="J38" s="37">
        <f>IFERROR(-Financiamento!P$5, 0)</f>
        <v/>
      </c>
      <c r="K38" s="37">
        <f>IFERROR(-Financiamento!Q$5, 0)</f>
        <v/>
      </c>
      <c r="L38" s="37">
        <f>IFERROR(-Financiamento!R$5, 0)</f>
        <v/>
      </c>
      <c r="M38" s="37">
        <f>IFERROR(-Financiamento!S$5, 0)</f>
        <v/>
      </c>
      <c r="N38" s="37">
        <f>IFERROR(-Financiamento!T$5, 0)</f>
        <v/>
      </c>
      <c r="O38" s="37">
        <f>IFERROR(-Financiamento!U$5, 0)</f>
        <v/>
      </c>
      <c r="P38" s="37">
        <f>IFERROR(-Financiamento!V$5, 0)</f>
        <v/>
      </c>
    </row>
    <row r="39">
      <c r="A39" s="23" t="n"/>
      <c r="B39" s="23" t="n"/>
      <c r="C39" s="23" t="n"/>
      <c r="D39" s="37" t="n"/>
      <c r="E39" s="37" t="n"/>
      <c r="F39" s="37" t="n"/>
      <c r="G39" s="37" t="n"/>
      <c r="H39" s="37" t="n"/>
      <c r="I39" s="37" t="n"/>
      <c r="J39" s="37" t="n"/>
      <c r="K39" s="37" t="n"/>
      <c r="L39" s="37" t="n"/>
      <c r="M39" s="37" t="n"/>
      <c r="N39" s="37" t="n"/>
      <c r="O39" s="37" t="n"/>
      <c r="P39" s="37" t="n"/>
    </row>
    <row r="40">
      <c r="A40" s="23" t="n"/>
      <c r="B40" s="25" t="inlineStr">
        <is>
          <t>EBT</t>
        </is>
      </c>
      <c r="C40" s="23" t="n"/>
      <c r="D40" s="37">
        <f>D35+D38</f>
        <v/>
      </c>
      <c r="E40" s="37">
        <f>E35+E38</f>
        <v/>
      </c>
      <c r="F40" s="37">
        <f>F35+F38</f>
        <v/>
      </c>
      <c r="G40" s="37">
        <f>G35+G38</f>
        <v/>
      </c>
      <c r="H40" s="37">
        <f>H35+H38</f>
        <v/>
      </c>
      <c r="I40" s="37">
        <f>I35+I38</f>
        <v/>
      </c>
      <c r="J40" s="37">
        <f>J35+J38</f>
        <v/>
      </c>
      <c r="K40" s="37">
        <f>K35+K38</f>
        <v/>
      </c>
      <c r="L40" s="37">
        <f>L35+L38</f>
        <v/>
      </c>
      <c r="M40" s="37">
        <f>M35+M38</f>
        <v/>
      </c>
      <c r="N40" s="37">
        <f>N35+N38</f>
        <v/>
      </c>
      <c r="O40" s="37">
        <f>O35+O38</f>
        <v/>
      </c>
      <c r="P40" s="37">
        <f>P35+P38</f>
        <v/>
      </c>
    </row>
    <row r="41">
      <c r="A41" s="23" t="n"/>
      <c r="B41" s="27" t="inlineStr">
        <is>
          <t>% da Receita</t>
        </is>
      </c>
      <c r="C41" s="23" t="n"/>
      <c r="D41" s="28">
        <f>D40/D4</f>
        <v/>
      </c>
      <c r="E41" s="28">
        <f>E40/E4</f>
        <v/>
      </c>
      <c r="F41" s="28">
        <f>F40/F4</f>
        <v/>
      </c>
      <c r="G41" s="28">
        <f>G40/G4</f>
        <v/>
      </c>
      <c r="H41" s="28">
        <f>H40/H4</f>
        <v/>
      </c>
      <c r="I41" s="28">
        <f>I40/I4</f>
        <v/>
      </c>
      <c r="J41" s="28">
        <f>J40/J4</f>
        <v/>
      </c>
      <c r="K41" s="28">
        <f>K40/K4</f>
        <v/>
      </c>
      <c r="L41" s="28">
        <f>L40/L4</f>
        <v/>
      </c>
      <c r="M41" s="28">
        <f>M40/M4</f>
        <v/>
      </c>
      <c r="N41" s="28">
        <f>N40/N4</f>
        <v/>
      </c>
      <c r="O41" s="28">
        <f>O40/O4</f>
        <v/>
      </c>
      <c r="P41" s="28">
        <f>P40/P4</f>
        <v/>
      </c>
    </row>
    <row r="42">
      <c r="A42" s="23" t="n"/>
      <c r="B42" s="23" t="n"/>
      <c r="C42" s="23" t="n"/>
      <c r="D42" s="37" t="n"/>
      <c r="E42" s="37" t="n"/>
      <c r="F42" s="37" t="n"/>
      <c r="G42" s="37" t="n"/>
      <c r="H42" s="37" t="n"/>
      <c r="I42" s="37" t="n"/>
      <c r="J42" s="37" t="n"/>
      <c r="K42" s="37" t="n"/>
      <c r="L42" s="37" t="n"/>
      <c r="M42" s="37" t="n"/>
      <c r="N42" s="37" t="n"/>
      <c r="O42" s="37" t="n"/>
      <c r="P42" s="37" t="n"/>
    </row>
    <row r="43" outlineLevel="1">
      <c r="A43" s="23" t="n"/>
      <c r="B43" s="25" t="inlineStr">
        <is>
          <t>Prejuizo Acumulado *</t>
        </is>
      </c>
      <c r="C43" s="23" t="n"/>
      <c r="D43" s="37" t="n"/>
      <c r="E43" s="37" t="n"/>
      <c r="F43" s="37" t="n"/>
      <c r="G43" s="37" t="n"/>
      <c r="H43" s="37" t="n"/>
      <c r="I43" s="37" t="n"/>
      <c r="J43" s="37" t="n"/>
      <c r="K43" s="37" t="n"/>
      <c r="L43" s="37" t="n"/>
      <c r="M43" s="37" t="n"/>
      <c r="N43" s="37" t="n"/>
      <c r="O43" s="37" t="n"/>
      <c r="P43" s="37" t="n"/>
    </row>
    <row r="44" outlineLevel="1">
      <c r="A44" s="23" t="n"/>
      <c r="B44" s="23" t="n"/>
      <c r="C44" s="25" t="inlineStr">
        <is>
          <t>Inicio</t>
        </is>
      </c>
      <c r="D44" s="37" t="n">
        <v>0</v>
      </c>
      <c r="E44" s="37">
        <f>D47</f>
        <v/>
      </c>
      <c r="F44" s="37">
        <f>E47</f>
        <v/>
      </c>
      <c r="G44" s="37">
        <f>F47</f>
        <v/>
      </c>
      <c r="H44" s="37">
        <f>G47</f>
        <v/>
      </c>
      <c r="I44" s="37">
        <f>H47</f>
        <v/>
      </c>
      <c r="J44" s="37">
        <f>I47</f>
        <v/>
      </c>
      <c r="K44" s="37">
        <f>J47</f>
        <v/>
      </c>
      <c r="L44" s="37">
        <f>K47</f>
        <v/>
      </c>
      <c r="M44" s="37">
        <f>L47</f>
        <v/>
      </c>
      <c r="N44" s="37">
        <f>M47</f>
        <v/>
      </c>
      <c r="O44" s="37">
        <f>N47</f>
        <v/>
      </c>
      <c r="P44" s="37">
        <f>O47</f>
        <v/>
      </c>
    </row>
    <row r="45" outlineLevel="1">
      <c r="A45" s="23" t="n"/>
      <c r="B45" s="23" t="n"/>
      <c r="C45" s="25" t="inlineStr">
        <is>
          <t>Saldo Adquirido</t>
        </is>
      </c>
      <c r="D45" s="37">
        <f>-IF(D40&lt;0,-D40,0)</f>
        <v/>
      </c>
      <c r="E45" s="37">
        <f>-IF(E40&lt;0,-E40,0)</f>
        <v/>
      </c>
      <c r="F45" s="37">
        <f>-IF(F40&lt;0,-F40,0)</f>
        <v/>
      </c>
      <c r="G45" s="37">
        <f>-IF(G40&lt;0,-G40,0)</f>
        <v/>
      </c>
      <c r="H45" s="37">
        <f>-IF(H40&lt;0,-H40,0)</f>
        <v/>
      </c>
      <c r="I45" s="37">
        <f>-IF(I40&lt;0,-I40,0)</f>
        <v/>
      </c>
      <c r="J45" s="37">
        <f>-IF(J40&lt;0,-J40,0)</f>
        <v/>
      </c>
      <c r="K45" s="37">
        <f>-IF(K40&lt;0,-K40,0)</f>
        <v/>
      </c>
      <c r="L45" s="37">
        <f>-IF(L40&lt;0,-L40,0)</f>
        <v/>
      </c>
      <c r="M45" s="37">
        <f>-IF(M40&lt;0,-M40,0)</f>
        <v/>
      </c>
      <c r="N45" s="37">
        <f>-IF(N40&lt;0,-N40,0)</f>
        <v/>
      </c>
      <c r="O45" s="37">
        <f>-IF(O40&lt;0,-O40,0)</f>
        <v/>
      </c>
      <c r="P45" s="37">
        <f>-IF(P40&lt;0,-P40,0)</f>
        <v/>
      </c>
    </row>
    <row r="46" outlineLevel="1">
      <c r="A46" s="23" t="n"/>
      <c r="B46" s="23" t="n"/>
      <c r="C46" s="25" t="inlineStr">
        <is>
          <t>Saldo Utilizado</t>
        </is>
      </c>
      <c r="D46" s="37">
        <f>IF(D$40&gt;0, MIN(D$40*30%, -D$44), 0)</f>
        <v/>
      </c>
      <c r="E46" s="37">
        <f>IF(E$40&gt;0, MIN(E$40*30%, -E$44), 0)</f>
        <v/>
      </c>
      <c r="F46" s="37">
        <f>IF(F$40&gt;0, MIN(F$40*30%, -F$44), 0)</f>
        <v/>
      </c>
      <c r="G46" s="37">
        <f>IF(G$40&gt;0, MIN(G$40*30%, -G$44), 0)</f>
        <v/>
      </c>
      <c r="H46" s="37">
        <f>IF(H$40&gt;0, MIN(H$40*30%, -H$44), 0)</f>
        <v/>
      </c>
      <c r="I46" s="37">
        <f>IF(I$40&gt;0, MIN(I$40*30%, -I$44), 0)</f>
        <v/>
      </c>
      <c r="J46" s="37">
        <f>IF(J$40&gt;0, MIN(J$40*30%, -J$44), 0)</f>
        <v/>
      </c>
      <c r="K46" s="37">
        <f>IF(K$40&gt;0, MIN(K$40*30%, -K$44), 0)</f>
        <v/>
      </c>
      <c r="L46" s="37">
        <f>IF(L$40&gt;0, MIN(L$40*30%, -L$44), 0)</f>
        <v/>
      </c>
      <c r="M46" s="37">
        <f>IF(M$40&gt;0, MIN(M$40*30%, -M$44), 0)</f>
        <v/>
      </c>
      <c r="N46" s="37">
        <f>IF(N$40&gt;0, MIN(N$40*30%, -N$44), 0)</f>
        <v/>
      </c>
      <c r="O46" s="37">
        <f>IF(O$40&gt;0, MIN(O$40*30%, -O$44), 0)</f>
        <v/>
      </c>
      <c r="P46" s="37">
        <f>IF(P$40&gt;0, MIN(P$40*30%, -P$44), 0)</f>
        <v/>
      </c>
    </row>
    <row r="47" outlineLevel="1">
      <c r="A47" s="23" t="n"/>
      <c r="B47" s="23" t="n"/>
      <c r="C47" s="25" t="inlineStr">
        <is>
          <t>Final</t>
        </is>
      </c>
      <c r="D47" s="37">
        <f>SUM(D44:D46)</f>
        <v/>
      </c>
      <c r="E47" s="37">
        <f>SUM(E44:E46)</f>
        <v/>
      </c>
      <c r="F47" s="37">
        <f>SUM(F44:F46)</f>
        <v/>
      </c>
      <c r="G47" s="37">
        <f>SUM(G44:G46)</f>
        <v/>
      </c>
      <c r="H47" s="37">
        <f>SUM(H44:H46)</f>
        <v/>
      </c>
      <c r="I47" s="37">
        <f>SUM(I44:I46)</f>
        <v/>
      </c>
      <c r="J47" s="37">
        <f>SUM(J44:J46)</f>
        <v/>
      </c>
      <c r="K47" s="37">
        <f>SUM(K44:K46)</f>
        <v/>
      </c>
      <c r="L47" s="37">
        <f>SUM(L44:L46)</f>
        <v/>
      </c>
      <c r="M47" s="37">
        <f>SUM(M44:M46)</f>
        <v/>
      </c>
      <c r="N47" s="37">
        <f>SUM(N44:N46)</f>
        <v/>
      </c>
      <c r="O47" s="37">
        <f>SUM(O44:O46)</f>
        <v/>
      </c>
      <c r="P47" s="37">
        <f>SUM(P44:P46)</f>
        <v/>
      </c>
    </row>
    <row r="48" outlineLevel="1">
      <c r="A48" s="23" t="n"/>
      <c r="B48" s="23" t="n"/>
      <c r="C48" s="23" t="n"/>
      <c r="D48" s="37" t="n"/>
      <c r="E48" s="37" t="n"/>
      <c r="F48" s="37" t="n"/>
      <c r="G48" s="37" t="n"/>
      <c r="H48" s="37" t="n"/>
      <c r="I48" s="37" t="n"/>
      <c r="J48" s="37" t="n"/>
      <c r="K48" s="37" t="n"/>
      <c r="L48" s="37" t="n"/>
      <c r="M48" s="37" t="n"/>
      <c r="N48" s="37" t="n"/>
      <c r="O48" s="37" t="n"/>
      <c r="P48" s="37" t="n"/>
    </row>
    <row r="49" outlineLevel="1">
      <c r="A49" s="23" t="n"/>
      <c r="B49" s="25" t="inlineStr">
        <is>
          <t xml:space="preserve">Base de calculo </t>
        </is>
      </c>
      <c r="C49" s="23" t="n"/>
      <c r="D49" s="37">
        <f>IF(D40&lt;0,0,D40-D46)</f>
        <v/>
      </c>
      <c r="E49" s="37">
        <f>IF(E40&lt;0,0,E40-E46)</f>
        <v/>
      </c>
      <c r="F49" s="37">
        <f>IF(F40&lt;0,0,F40-F46)</f>
        <v/>
      </c>
      <c r="G49" s="37">
        <f>IF(G40&lt;0,0,G40-G46)</f>
        <v/>
      </c>
      <c r="H49" s="37">
        <f>IF(H40&lt;0,0,H40-H46)</f>
        <v/>
      </c>
      <c r="I49" s="37">
        <f>IF(I40&lt;0,0,I40-I46)</f>
        <v/>
      </c>
      <c r="J49" s="37">
        <f>IF(J40&lt;0,0,J40-J46)</f>
        <v/>
      </c>
      <c r="K49" s="37">
        <f>IF(K40&lt;0,0,K40-K46)</f>
        <v/>
      </c>
      <c r="L49" s="37">
        <f>IF(L40&lt;0,0,L40-L46)</f>
        <v/>
      </c>
      <c r="M49" s="37">
        <f>IF(M40&lt;0,0,M40-M46)</f>
        <v/>
      </c>
      <c r="N49" s="37">
        <f>IF(N40&lt;0,0,N40-N46)</f>
        <v/>
      </c>
      <c r="O49" s="37">
        <f>IF(O40&lt;0,0,O40-O46)</f>
        <v/>
      </c>
      <c r="P49" s="37">
        <f>IF(P40&lt;0,0,P40-P46)</f>
        <v/>
      </c>
    </row>
    <row r="50" outlineLevel="1" collapsed="1">
      <c r="A50" s="23" t="n"/>
      <c r="B50" s="23" t="n"/>
      <c r="C50" s="23" t="n"/>
      <c r="D50" s="37" t="n"/>
      <c r="E50" s="37" t="n"/>
      <c r="F50" s="37" t="n"/>
      <c r="G50" s="37" t="n"/>
      <c r="H50" s="37" t="n"/>
      <c r="I50" s="37" t="n"/>
      <c r="J50" s="37" t="n"/>
      <c r="K50" s="37" t="n"/>
      <c r="L50" s="37" t="n"/>
      <c r="M50" s="37" t="n"/>
      <c r="N50" s="37" t="n"/>
      <c r="O50" s="37" t="n"/>
      <c r="P50" s="37" t="n"/>
    </row>
    <row r="51">
      <c r="A51" s="23" t="n"/>
      <c r="B51" s="25" t="inlineStr">
        <is>
          <t>Impostos (-)</t>
        </is>
      </c>
      <c r="C51" s="23" t="n"/>
      <c r="D51" s="37">
        <f>-D49*0.3</f>
        <v/>
      </c>
      <c r="E51" s="37">
        <f>-E49*0.3</f>
        <v/>
      </c>
      <c r="F51" s="37">
        <f>-F49*0.3</f>
        <v/>
      </c>
      <c r="G51" s="37">
        <f>-G49*0.3</f>
        <v/>
      </c>
      <c r="H51" s="37">
        <f>-H49*0.3</f>
        <v/>
      </c>
      <c r="I51" s="37">
        <f>-I49*0.3</f>
        <v/>
      </c>
      <c r="J51" s="37">
        <f>-J49*0.3</f>
        <v/>
      </c>
      <c r="K51" s="37">
        <f>-K49*0.3</f>
        <v/>
      </c>
      <c r="L51" s="37">
        <f>-L49*0.3</f>
        <v/>
      </c>
      <c r="M51" s="37">
        <f>-M49*0.3</f>
        <v/>
      </c>
      <c r="N51" s="37">
        <f>-N49*0.3</f>
        <v/>
      </c>
      <c r="O51" s="37">
        <f>-O49*0.3</f>
        <v/>
      </c>
      <c r="P51" s="37">
        <f>-P49*0.3</f>
        <v/>
      </c>
    </row>
    <row r="52">
      <c r="A52" s="23" t="n"/>
      <c r="B52" s="27" t="inlineStr">
        <is>
          <t>Taxa Efetiva de Imposto %</t>
        </is>
      </c>
      <c r="C52" s="23" t="n"/>
      <c r="D52" s="28">
        <f>ABS(D51)/D35</f>
        <v/>
      </c>
      <c r="E52" s="28">
        <f>ABS(E51)/E35</f>
        <v/>
      </c>
      <c r="F52" s="28">
        <f>ABS(F51)/F35</f>
        <v/>
      </c>
      <c r="G52" s="28">
        <f>ABS(G51)/G35</f>
        <v/>
      </c>
      <c r="H52" s="28">
        <f>ABS(H51)/H35</f>
        <v/>
      </c>
      <c r="I52" s="28">
        <f>ABS(I51)/I35</f>
        <v/>
      </c>
      <c r="J52" s="28">
        <f>ABS(J51)/J35</f>
        <v/>
      </c>
      <c r="K52" s="28">
        <f>ABS(K51)/K35</f>
        <v/>
      </c>
      <c r="L52" s="28">
        <f>ABS(L51)/L35</f>
        <v/>
      </c>
      <c r="M52" s="28">
        <f>ABS(M51)/M35</f>
        <v/>
      </c>
      <c r="N52" s="28">
        <f>ABS(N51)/N35</f>
        <v/>
      </c>
      <c r="O52" s="28">
        <f>ABS(O51)/O35</f>
        <v/>
      </c>
      <c r="P52" s="28">
        <f>ABS(P51)/P35</f>
        <v/>
      </c>
    </row>
    <row r="53">
      <c r="A53" s="23" t="n"/>
      <c r="B53" s="23" t="n"/>
      <c r="C53" s="23" t="n"/>
      <c r="D53" s="37" t="n"/>
      <c r="E53" s="37" t="n"/>
      <c r="F53" s="37" t="n"/>
      <c r="G53" s="37" t="n"/>
      <c r="H53" s="37" t="n"/>
      <c r="I53" s="37" t="n"/>
      <c r="J53" s="37" t="n"/>
      <c r="K53" s="37" t="n"/>
      <c r="L53" s="37" t="n"/>
      <c r="M53" s="37" t="n"/>
      <c r="N53" s="37" t="n"/>
      <c r="O53" s="37" t="n"/>
      <c r="P53" s="37" t="n"/>
    </row>
    <row r="54">
      <c r="A54" s="23" t="n"/>
      <c r="B54" s="25" t="inlineStr">
        <is>
          <t>Lucro (prejuízo) líquido</t>
        </is>
      </c>
      <c r="C54" s="23" t="n"/>
      <c r="D54" s="37">
        <f>SUM(D51,D40)</f>
        <v/>
      </c>
      <c r="E54" s="37">
        <f>SUM(E51,E40)</f>
        <v/>
      </c>
      <c r="F54" s="37">
        <f>SUM(F51,F40)</f>
        <v/>
      </c>
      <c r="G54" s="37">
        <f>SUM(G51,G40)</f>
        <v/>
      </c>
      <c r="H54" s="37">
        <f>SUM(H51,H40)</f>
        <v/>
      </c>
      <c r="I54" s="37">
        <f>SUM(I51,I40)</f>
        <v/>
      </c>
      <c r="J54" s="37">
        <f>SUM(J51,J40)</f>
        <v/>
      </c>
      <c r="K54" s="37">
        <f>SUM(K51,K40)</f>
        <v/>
      </c>
      <c r="L54" s="37">
        <f>SUM(L51,L40)</f>
        <v/>
      </c>
      <c r="M54" s="37">
        <f>SUM(M51,M40)</f>
        <v/>
      </c>
      <c r="N54" s="37">
        <f>SUM(N51,N40)</f>
        <v/>
      </c>
      <c r="O54" s="37">
        <f>SUM(O51,O40)</f>
        <v/>
      </c>
      <c r="P54" s="37">
        <f>SUM(P51,P40)</f>
        <v/>
      </c>
    </row>
    <row r="55">
      <c r="A55" s="23" t="n"/>
      <c r="B55" s="23" t="n"/>
      <c r="C55" s="23" t="n"/>
      <c r="D55" s="37" t="n"/>
      <c r="E55" s="37" t="n"/>
      <c r="F55" s="37" t="n"/>
      <c r="G55" s="37" t="n"/>
      <c r="H55" s="37" t="n"/>
      <c r="I55" s="37" t="n"/>
      <c r="J55" s="37" t="n"/>
      <c r="K55" s="37" t="n"/>
      <c r="L55" s="37" t="n"/>
      <c r="M55" s="37" t="n"/>
      <c r="N55" s="37" t="n"/>
      <c r="O55" s="37" t="n"/>
      <c r="P55" s="37" t="n"/>
    </row>
    <row r="56">
      <c r="A56" s="23" t="n"/>
      <c r="B56" s="23" t="n"/>
      <c r="C56" s="23" t="n"/>
      <c r="D56" s="23" t="n"/>
      <c r="E56" s="23" t="n"/>
      <c r="F56" s="23" t="n"/>
      <c r="G56" s="23" t="n"/>
      <c r="H56" s="23" t="n"/>
      <c r="I56" s="23" t="n"/>
      <c r="J56" s="23" t="n"/>
      <c r="K56" s="23" t="n"/>
      <c r="L56" s="23" t="n"/>
      <c r="M56" s="23" t="n"/>
      <c r="N56" s="23" t="n"/>
      <c r="O56" s="23" t="n"/>
      <c r="P56" s="23" t="n"/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theme="5"/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theme="7"/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theme="1"/>
    <outlinePr summaryBelow="1" summaryRight="1"/>
    <pageSetUpPr/>
  </sheetPr>
  <dimension ref="A1:F261"/>
  <sheetViews>
    <sheetView workbookViewId="0">
      <selection activeCell="J29" sqref="J29"/>
    </sheetView>
  </sheetViews>
  <sheetFormatPr baseColWidth="8" defaultRowHeight="15"/>
  <cols>
    <col width="17.7109375" bestFit="1" customWidth="1" min="6" max="6"/>
  </cols>
  <sheetData>
    <row r="1">
      <c r="A1" s="1" t="inlineStr">
        <is>
          <t>Cliente</t>
        </is>
      </c>
      <c r="B1" s="1" t="inlineStr">
        <is>
          <t>Produto</t>
        </is>
      </c>
      <c r="C1" s="1" t="inlineStr">
        <is>
          <t>Quantidade</t>
        </is>
      </c>
      <c r="D1" s="1" t="inlineStr">
        <is>
          <t>Valor_Unitário</t>
        </is>
      </c>
      <c r="E1" s="1" t="inlineStr">
        <is>
          <t>Valor_Líquido</t>
        </is>
      </c>
      <c r="F1" s="1" t="inlineStr">
        <is>
          <t>Mês</t>
        </is>
      </c>
    </row>
    <row r="2">
      <c r="A2" t="inlineStr">
        <is>
          <t>Laboratório C</t>
        </is>
      </c>
      <c r="B2" t="inlineStr">
        <is>
          <t>Produto A</t>
        </is>
      </c>
      <c r="C2" t="n">
        <v>22</v>
      </c>
      <c r="D2" t="n">
        <v>2125.75288714797</v>
      </c>
      <c r="E2" t="n">
        <v>46766.56351725534</v>
      </c>
      <c r="F2" s="2" t="n">
        <v>45292</v>
      </c>
    </row>
    <row r="3">
      <c r="A3" t="inlineStr">
        <is>
          <t>Hospital D</t>
        </is>
      </c>
      <c r="B3" t="inlineStr">
        <is>
          <t>Produto B</t>
        </is>
      </c>
      <c r="C3" t="n">
        <v>15</v>
      </c>
      <c r="D3" t="n">
        <v>2199.305696379273</v>
      </c>
      <c r="E3" t="n">
        <v>32989.5854456891</v>
      </c>
      <c r="F3" s="2" t="n">
        <v>45292</v>
      </c>
    </row>
    <row r="4">
      <c r="A4" t="inlineStr">
        <is>
          <t>Clínica B</t>
        </is>
      </c>
      <c r="B4" t="inlineStr">
        <is>
          <t>Produto A</t>
        </is>
      </c>
      <c r="C4" t="n">
        <v>33</v>
      </c>
      <c r="D4" t="n">
        <v>2237.699015039196</v>
      </c>
      <c r="E4" t="n">
        <v>73844.06749629347</v>
      </c>
      <c r="F4" s="2" t="n">
        <v>45292</v>
      </c>
    </row>
    <row r="5">
      <c r="A5" t="inlineStr">
        <is>
          <t>Clínica B</t>
        </is>
      </c>
      <c r="B5" t="inlineStr">
        <is>
          <t>Produto B</t>
        </is>
      </c>
      <c r="C5" t="n">
        <v>20</v>
      </c>
      <c r="D5" t="n">
        <v>1279.607480182216</v>
      </c>
      <c r="E5" t="n">
        <v>25592.14960364432</v>
      </c>
      <c r="F5" s="2" t="n">
        <v>45292</v>
      </c>
    </row>
    <row r="6">
      <c r="A6" t="inlineStr">
        <is>
          <t>Hospital D</t>
        </is>
      </c>
      <c r="B6" t="inlineStr">
        <is>
          <t>Produto A</t>
        </is>
      </c>
      <c r="C6" t="n">
        <v>14</v>
      </c>
      <c r="D6" t="n">
        <v>1353.5376190975</v>
      </c>
      <c r="E6" t="n">
        <v>18949.526667365</v>
      </c>
      <c r="F6" s="2" t="n">
        <v>45292</v>
      </c>
    </row>
    <row r="7">
      <c r="A7" t="inlineStr">
        <is>
          <t>Laboratório C</t>
        </is>
      </c>
      <c r="B7" t="inlineStr">
        <is>
          <t>Produto C</t>
        </is>
      </c>
      <c r="C7" t="n">
        <v>5</v>
      </c>
      <c r="D7" t="n">
        <v>1950.637845580266</v>
      </c>
      <c r="E7" t="n">
        <v>9753.18922790133</v>
      </c>
      <c r="F7" s="2" t="n">
        <v>45292</v>
      </c>
    </row>
    <row r="8">
      <c r="A8" t="inlineStr">
        <is>
          <t>Laboratório C</t>
        </is>
      </c>
      <c r="B8" t="inlineStr">
        <is>
          <t>Produto C</t>
        </is>
      </c>
      <c r="C8" t="n">
        <v>12</v>
      </c>
      <c r="D8" t="n">
        <v>2361.799195693774</v>
      </c>
      <c r="E8" t="n">
        <v>28341.59034832529</v>
      </c>
      <c r="F8" s="2" t="n">
        <v>45292</v>
      </c>
    </row>
    <row r="9">
      <c r="A9" t="inlineStr">
        <is>
          <t>Clínica B</t>
        </is>
      </c>
      <c r="B9" t="inlineStr">
        <is>
          <t>Produto A</t>
        </is>
      </c>
      <c r="C9" t="n">
        <v>34</v>
      </c>
      <c r="D9" t="n">
        <v>1474.294873444742</v>
      </c>
      <c r="E9" t="n">
        <v>50126.02569712123</v>
      </c>
      <c r="F9" s="2" t="n">
        <v>45292</v>
      </c>
    </row>
    <row r="10">
      <c r="A10" t="inlineStr">
        <is>
          <t>Laboratório C</t>
        </is>
      </c>
      <c r="B10" t="inlineStr">
        <is>
          <t>Produto A</t>
        </is>
      </c>
      <c r="C10" t="n">
        <v>34</v>
      </c>
      <c r="D10" t="n">
        <v>1882.460013692585</v>
      </c>
      <c r="E10" t="n">
        <v>64003.64046554789</v>
      </c>
      <c r="F10" s="2" t="n">
        <v>45292</v>
      </c>
    </row>
    <row r="11">
      <c r="A11" t="inlineStr">
        <is>
          <t>Hospital A</t>
        </is>
      </c>
      <c r="B11" t="inlineStr">
        <is>
          <t>Produto A</t>
        </is>
      </c>
      <c r="C11" t="n">
        <v>30</v>
      </c>
      <c r="D11" t="n">
        <v>2024.473095125699</v>
      </c>
      <c r="E11" t="n">
        <v>60734.19285377097</v>
      </c>
      <c r="F11" s="2" t="n">
        <v>45292</v>
      </c>
    </row>
    <row r="12">
      <c r="A12" t="inlineStr">
        <is>
          <t>Clínica B</t>
        </is>
      </c>
      <c r="B12" t="inlineStr">
        <is>
          <t>Produto C</t>
        </is>
      </c>
      <c r="C12" t="n">
        <v>34</v>
      </c>
      <c r="D12" t="n">
        <v>1677.922901948559</v>
      </c>
      <c r="E12" t="n">
        <v>57049.378666251</v>
      </c>
      <c r="F12" s="2" t="n">
        <v>45292</v>
      </c>
    </row>
    <row r="13">
      <c r="A13" t="inlineStr">
        <is>
          <t>Laboratório C</t>
        </is>
      </c>
      <c r="B13" t="inlineStr">
        <is>
          <t>Produto A</t>
        </is>
      </c>
      <c r="C13" t="n">
        <v>30</v>
      </c>
      <c r="D13" t="n">
        <v>2070.673682282989</v>
      </c>
      <c r="E13" t="n">
        <v>62120.21046848967</v>
      </c>
      <c r="F13" s="2" t="n">
        <v>45292</v>
      </c>
    </row>
    <row r="14">
      <c r="A14" t="inlineStr">
        <is>
          <t>Clínica B</t>
        </is>
      </c>
      <c r="B14" t="inlineStr">
        <is>
          <t>Produto C</t>
        </is>
      </c>
      <c r="C14" t="n">
        <v>18</v>
      </c>
      <c r="D14" t="n">
        <v>2349.50116793826</v>
      </c>
      <c r="E14" t="n">
        <v>42291.02102288868</v>
      </c>
      <c r="F14" s="2" t="n">
        <v>45292</v>
      </c>
    </row>
    <row r="15">
      <c r="A15" t="inlineStr">
        <is>
          <t>Hospital A</t>
        </is>
      </c>
      <c r="B15" t="inlineStr">
        <is>
          <t>Produto B</t>
        </is>
      </c>
      <c r="C15" t="n">
        <v>27</v>
      </c>
      <c r="D15" t="n">
        <v>1936.152316272756</v>
      </c>
      <c r="E15" t="n">
        <v>52276.11253936441</v>
      </c>
      <c r="F15" s="2" t="n">
        <v>45292</v>
      </c>
    </row>
    <row r="16">
      <c r="A16" t="inlineStr">
        <is>
          <t>Clínica B</t>
        </is>
      </c>
      <c r="B16" t="inlineStr">
        <is>
          <t>Produto C</t>
        </is>
      </c>
      <c r="C16" t="n">
        <v>15</v>
      </c>
      <c r="D16" t="n">
        <v>1809.67159287195</v>
      </c>
      <c r="E16" t="n">
        <v>27145.07389307925</v>
      </c>
      <c r="F16" s="2" t="n">
        <v>45292</v>
      </c>
    </row>
    <row r="17">
      <c r="A17" t="inlineStr">
        <is>
          <t>Clínica B</t>
        </is>
      </c>
      <c r="B17" t="inlineStr">
        <is>
          <t>Produto C</t>
        </is>
      </c>
      <c r="C17" t="n">
        <v>25</v>
      </c>
      <c r="D17" t="n">
        <v>1658.117013082508</v>
      </c>
      <c r="E17" t="n">
        <v>41452.9253270627</v>
      </c>
      <c r="F17" s="2" t="n">
        <v>45292</v>
      </c>
    </row>
    <row r="18">
      <c r="A18" t="inlineStr">
        <is>
          <t>Clínica B</t>
        </is>
      </c>
      <c r="B18" t="inlineStr">
        <is>
          <t>Produto B</t>
        </is>
      </c>
      <c r="C18" t="n">
        <v>30</v>
      </c>
      <c r="D18" t="n">
        <v>1866.229406359188</v>
      </c>
      <c r="E18" t="n">
        <v>55986.88219077564</v>
      </c>
      <c r="F18" s="2" t="n">
        <v>45292</v>
      </c>
    </row>
    <row r="19">
      <c r="A19" t="inlineStr">
        <is>
          <t>Clínica B</t>
        </is>
      </c>
      <c r="B19" t="inlineStr">
        <is>
          <t>Produto C</t>
        </is>
      </c>
      <c r="C19" t="n">
        <v>34</v>
      </c>
      <c r="D19" t="n">
        <v>1533.043677727594</v>
      </c>
      <c r="E19" t="n">
        <v>52123.4850427382</v>
      </c>
      <c r="F19" s="2" t="n">
        <v>45292</v>
      </c>
    </row>
    <row r="20">
      <c r="A20" t="inlineStr">
        <is>
          <t>Hospital A</t>
        </is>
      </c>
      <c r="B20" t="inlineStr">
        <is>
          <t>Produto A</t>
        </is>
      </c>
      <c r="C20" t="n">
        <v>30</v>
      </c>
      <c r="D20" t="n">
        <v>1587.223165302253</v>
      </c>
      <c r="E20" t="n">
        <v>47616.69495906759</v>
      </c>
      <c r="F20" s="2" t="n">
        <v>45292</v>
      </c>
    </row>
    <row r="21">
      <c r="A21" t="inlineStr">
        <is>
          <t>Hospital D</t>
        </is>
      </c>
      <c r="B21" t="inlineStr">
        <is>
          <t>Produto A</t>
        </is>
      </c>
      <c r="C21" t="n">
        <v>22</v>
      </c>
      <c r="D21" t="n">
        <v>1797.786219532261</v>
      </c>
      <c r="E21" t="n">
        <v>39551.29682970974</v>
      </c>
      <c r="F21" s="2" t="n">
        <v>45292</v>
      </c>
    </row>
    <row r="22">
      <c r="A22" t="inlineStr">
        <is>
          <t>Clínica B</t>
        </is>
      </c>
      <c r="B22" t="inlineStr">
        <is>
          <t>Produto C</t>
        </is>
      </c>
      <c r="C22" t="n">
        <v>19</v>
      </c>
      <c r="D22" t="n">
        <v>1099.928668586226</v>
      </c>
      <c r="E22" t="n">
        <v>20898.64470313829</v>
      </c>
      <c r="F22" s="2" t="n">
        <v>45323</v>
      </c>
    </row>
    <row r="23">
      <c r="A23" t="inlineStr">
        <is>
          <t>Clínica B</t>
        </is>
      </c>
      <c r="B23" t="inlineStr">
        <is>
          <t>Produto A</t>
        </is>
      </c>
      <c r="C23" t="n">
        <v>34</v>
      </c>
      <c r="D23" t="n">
        <v>1343.538086387195</v>
      </c>
      <c r="E23" t="n">
        <v>45680.29493716463</v>
      </c>
      <c r="F23" s="2" t="n">
        <v>45323</v>
      </c>
    </row>
    <row r="24">
      <c r="A24" t="inlineStr">
        <is>
          <t>Laboratório C</t>
        </is>
      </c>
      <c r="B24" t="inlineStr">
        <is>
          <t>Produto C</t>
        </is>
      </c>
      <c r="C24" t="n">
        <v>46</v>
      </c>
      <c r="D24" t="n">
        <v>1814.273965920113</v>
      </c>
      <c r="E24" t="n">
        <v>83456.60243232519</v>
      </c>
      <c r="F24" s="2" t="n">
        <v>45323</v>
      </c>
    </row>
    <row r="25">
      <c r="A25" t="inlineStr">
        <is>
          <t>Clínica B</t>
        </is>
      </c>
      <c r="B25" t="inlineStr">
        <is>
          <t>Produto A</t>
        </is>
      </c>
      <c r="C25" t="n">
        <v>21</v>
      </c>
      <c r="D25" t="n">
        <v>1647.292214704664</v>
      </c>
      <c r="E25" t="n">
        <v>34593.13650879794</v>
      </c>
      <c r="F25" s="2" t="n">
        <v>45323</v>
      </c>
    </row>
    <row r="26">
      <c r="A26" t="inlineStr">
        <is>
          <t>Laboratório C</t>
        </is>
      </c>
      <c r="B26" t="inlineStr">
        <is>
          <t>Produto A</t>
        </is>
      </c>
      <c r="C26" t="n">
        <v>9</v>
      </c>
      <c r="D26" t="n">
        <v>1499.223678868726</v>
      </c>
      <c r="E26" t="n">
        <v>13493.01310981853</v>
      </c>
      <c r="F26" s="2" t="n">
        <v>45323</v>
      </c>
    </row>
    <row r="27">
      <c r="A27" t="inlineStr">
        <is>
          <t>Hospital D</t>
        </is>
      </c>
      <c r="B27" t="inlineStr">
        <is>
          <t>Produto C</t>
        </is>
      </c>
      <c r="C27" t="n">
        <v>33</v>
      </c>
      <c r="D27" t="n">
        <v>2095.823705213952</v>
      </c>
      <c r="E27" t="n">
        <v>69162.18227206043</v>
      </c>
      <c r="F27" s="2" t="n">
        <v>45323</v>
      </c>
    </row>
    <row r="28">
      <c r="A28" t="inlineStr">
        <is>
          <t>Hospital A</t>
        </is>
      </c>
      <c r="B28" t="inlineStr">
        <is>
          <t>Produto A</t>
        </is>
      </c>
      <c r="C28" t="n">
        <v>8</v>
      </c>
      <c r="D28" t="n">
        <v>2040.576411105008</v>
      </c>
      <c r="E28" t="n">
        <v>16324.61128884006</v>
      </c>
      <c r="F28" s="2" t="n">
        <v>45323</v>
      </c>
    </row>
    <row r="29">
      <c r="A29" t="inlineStr">
        <is>
          <t>Hospital A</t>
        </is>
      </c>
      <c r="B29" t="inlineStr">
        <is>
          <t>Produto C</t>
        </is>
      </c>
      <c r="C29" t="n">
        <v>14</v>
      </c>
      <c r="D29" t="n">
        <v>1250.096139990075</v>
      </c>
      <c r="E29" t="n">
        <v>17501.34595986105</v>
      </c>
      <c r="F29" s="2" t="n">
        <v>45323</v>
      </c>
    </row>
    <row r="30">
      <c r="A30" t="inlineStr">
        <is>
          <t>Hospital D</t>
        </is>
      </c>
      <c r="B30" t="inlineStr">
        <is>
          <t>Produto A</t>
        </is>
      </c>
      <c r="C30" t="n">
        <v>21</v>
      </c>
      <c r="D30" t="n">
        <v>2317.943673060157</v>
      </c>
      <c r="E30" t="n">
        <v>48676.81713426329</v>
      </c>
      <c r="F30" s="2" t="n">
        <v>45323</v>
      </c>
    </row>
    <row r="31">
      <c r="A31" t="inlineStr">
        <is>
          <t>Hospital A</t>
        </is>
      </c>
      <c r="B31" t="inlineStr">
        <is>
          <t>Produto A</t>
        </is>
      </c>
      <c r="C31" t="n">
        <v>14</v>
      </c>
      <c r="D31" t="n">
        <v>1743.135439605948</v>
      </c>
      <c r="E31" t="n">
        <v>24403.89615448327</v>
      </c>
      <c r="F31" s="2" t="n">
        <v>45323</v>
      </c>
    </row>
    <row r="32">
      <c r="A32" t="inlineStr">
        <is>
          <t>Hospital D</t>
        </is>
      </c>
      <c r="B32" t="inlineStr">
        <is>
          <t>Produto B</t>
        </is>
      </c>
      <c r="C32" t="n">
        <v>21</v>
      </c>
      <c r="D32" t="n">
        <v>2112.191366708568</v>
      </c>
      <c r="E32" t="n">
        <v>44356.01870087993</v>
      </c>
      <c r="F32" s="2" t="n">
        <v>45323</v>
      </c>
    </row>
    <row r="33">
      <c r="A33" t="inlineStr">
        <is>
          <t>Hospital D</t>
        </is>
      </c>
      <c r="B33" t="inlineStr">
        <is>
          <t>Produto B</t>
        </is>
      </c>
      <c r="C33" t="n">
        <v>24</v>
      </c>
      <c r="D33" t="n">
        <v>1859.726273886083</v>
      </c>
      <c r="E33" t="n">
        <v>44633.43057326599</v>
      </c>
      <c r="F33" s="2" t="n">
        <v>45323</v>
      </c>
    </row>
    <row r="34">
      <c r="A34" t="inlineStr">
        <is>
          <t>Hospital D</t>
        </is>
      </c>
      <c r="B34" t="inlineStr">
        <is>
          <t>Produto C</t>
        </is>
      </c>
      <c r="C34" t="n">
        <v>28</v>
      </c>
      <c r="D34" t="n">
        <v>2496.538923885765</v>
      </c>
      <c r="E34" t="n">
        <v>69903.08986880143</v>
      </c>
      <c r="F34" s="2" t="n">
        <v>45323</v>
      </c>
    </row>
    <row r="35">
      <c r="A35" t="inlineStr">
        <is>
          <t>Hospital A</t>
        </is>
      </c>
      <c r="B35" t="inlineStr">
        <is>
          <t>Produto B</t>
        </is>
      </c>
      <c r="C35" t="n">
        <v>9</v>
      </c>
      <c r="D35" t="n">
        <v>2128.604680058234</v>
      </c>
      <c r="E35" t="n">
        <v>19157.44212052411</v>
      </c>
      <c r="F35" s="2" t="n">
        <v>45323</v>
      </c>
    </row>
    <row r="36">
      <c r="A36" t="inlineStr">
        <is>
          <t>Laboratório C</t>
        </is>
      </c>
      <c r="B36" t="inlineStr">
        <is>
          <t>Produto C</t>
        </is>
      </c>
      <c r="C36" t="n">
        <v>38</v>
      </c>
      <c r="D36" t="n">
        <v>2060.470691865189</v>
      </c>
      <c r="E36" t="n">
        <v>78297.88629087718</v>
      </c>
      <c r="F36" s="2" t="n">
        <v>45323</v>
      </c>
    </row>
    <row r="37">
      <c r="A37" t="inlineStr">
        <is>
          <t>Hospital D</t>
        </is>
      </c>
      <c r="B37" t="inlineStr">
        <is>
          <t>Produto B</t>
        </is>
      </c>
      <c r="C37" t="n">
        <v>10</v>
      </c>
      <c r="D37" t="n">
        <v>2167.857908576127</v>
      </c>
      <c r="E37" t="n">
        <v>21678.57908576127</v>
      </c>
      <c r="F37" s="2" t="n">
        <v>45323</v>
      </c>
    </row>
    <row r="38">
      <c r="A38" t="inlineStr">
        <is>
          <t>Clínica B</t>
        </is>
      </c>
      <c r="B38" t="inlineStr">
        <is>
          <t>Produto A</t>
        </is>
      </c>
      <c r="C38" t="n">
        <v>6</v>
      </c>
      <c r="D38" t="n">
        <v>1214.691978322704</v>
      </c>
      <c r="E38" t="n">
        <v>7288.151869936224</v>
      </c>
      <c r="F38" s="2" t="n">
        <v>45323</v>
      </c>
    </row>
    <row r="39">
      <c r="A39" t="inlineStr">
        <is>
          <t>Hospital A</t>
        </is>
      </c>
      <c r="B39" t="inlineStr">
        <is>
          <t>Produto C</t>
        </is>
      </c>
      <c r="C39" t="n">
        <v>17</v>
      </c>
      <c r="D39" t="n">
        <v>1306.816889754195</v>
      </c>
      <c r="E39" t="n">
        <v>22215.88712582131</v>
      </c>
      <c r="F39" s="2" t="n">
        <v>45323</v>
      </c>
    </row>
    <row r="40">
      <c r="A40" t="inlineStr">
        <is>
          <t>Hospital D</t>
        </is>
      </c>
      <c r="B40" t="inlineStr">
        <is>
          <t>Produto C</t>
        </is>
      </c>
      <c r="C40" t="n">
        <v>47</v>
      </c>
      <c r="D40" t="n">
        <v>2071.096123335421</v>
      </c>
      <c r="E40" t="n">
        <v>97341.51779676479</v>
      </c>
      <c r="F40" s="2" t="n">
        <v>45323</v>
      </c>
    </row>
    <row r="41">
      <c r="A41" t="inlineStr">
        <is>
          <t>Hospital D</t>
        </is>
      </c>
      <c r="B41" t="inlineStr">
        <is>
          <t>Produto A</t>
        </is>
      </c>
      <c r="C41" t="n">
        <v>47</v>
      </c>
      <c r="D41" t="n">
        <v>1740.972230696294</v>
      </c>
      <c r="E41" t="n">
        <v>81825.69484272582</v>
      </c>
      <c r="F41" s="2" t="n">
        <v>45323</v>
      </c>
    </row>
    <row r="42">
      <c r="A42" t="inlineStr">
        <is>
          <t>Clínica B</t>
        </is>
      </c>
      <c r="B42" t="inlineStr">
        <is>
          <t>Produto C</t>
        </is>
      </c>
      <c r="C42" t="n">
        <v>15</v>
      </c>
      <c r="D42" t="n">
        <v>2131.952937790175</v>
      </c>
      <c r="E42" t="n">
        <v>31979.29406685262</v>
      </c>
      <c r="F42" s="2" t="n">
        <v>45352</v>
      </c>
    </row>
    <row r="43">
      <c r="A43" t="inlineStr">
        <is>
          <t>Laboratório C</t>
        </is>
      </c>
      <c r="B43" t="inlineStr">
        <is>
          <t>Produto C</t>
        </is>
      </c>
      <c r="C43" t="n">
        <v>27</v>
      </c>
      <c r="D43" t="n">
        <v>1154.374046116217</v>
      </c>
      <c r="E43" t="n">
        <v>31168.09924513786</v>
      </c>
      <c r="F43" s="2" t="n">
        <v>45352</v>
      </c>
    </row>
    <row r="44">
      <c r="A44" t="inlineStr">
        <is>
          <t>Laboratório C</t>
        </is>
      </c>
      <c r="B44" t="inlineStr">
        <is>
          <t>Produto B</t>
        </is>
      </c>
      <c r="C44" t="n">
        <v>20</v>
      </c>
      <c r="D44" t="n">
        <v>1804.722027226892</v>
      </c>
      <c r="E44" t="n">
        <v>36094.44054453784</v>
      </c>
      <c r="F44" s="2" t="n">
        <v>45352</v>
      </c>
    </row>
    <row r="45">
      <c r="A45" t="inlineStr">
        <is>
          <t>Laboratório C</t>
        </is>
      </c>
      <c r="B45" t="inlineStr">
        <is>
          <t>Produto C</t>
        </is>
      </c>
      <c r="C45" t="n">
        <v>35</v>
      </c>
      <c r="D45" t="n">
        <v>1568.232348335373</v>
      </c>
      <c r="E45" t="n">
        <v>54888.13219173806</v>
      </c>
      <c r="F45" s="2" t="n">
        <v>45352</v>
      </c>
    </row>
    <row r="46">
      <c r="A46" t="inlineStr">
        <is>
          <t>Hospital D</t>
        </is>
      </c>
      <c r="B46" t="inlineStr">
        <is>
          <t>Produto A</t>
        </is>
      </c>
      <c r="C46" t="n">
        <v>15</v>
      </c>
      <c r="D46" t="n">
        <v>1685.500328922517</v>
      </c>
      <c r="E46" t="n">
        <v>25282.50493383775</v>
      </c>
      <c r="F46" s="2" t="n">
        <v>45352</v>
      </c>
    </row>
    <row r="47">
      <c r="A47" t="inlineStr">
        <is>
          <t>Hospital D</t>
        </is>
      </c>
      <c r="B47" t="inlineStr">
        <is>
          <t>Produto B</t>
        </is>
      </c>
      <c r="C47" t="n">
        <v>20</v>
      </c>
      <c r="D47" t="n">
        <v>1905.936808108769</v>
      </c>
      <c r="E47" t="n">
        <v>38118.73616217538</v>
      </c>
      <c r="F47" s="2" t="n">
        <v>45352</v>
      </c>
    </row>
    <row r="48">
      <c r="A48" t="inlineStr">
        <is>
          <t>Hospital D</t>
        </is>
      </c>
      <c r="B48" t="inlineStr">
        <is>
          <t>Produto B</t>
        </is>
      </c>
      <c r="C48" t="n">
        <v>12</v>
      </c>
      <c r="D48" t="n">
        <v>1753.432521193795</v>
      </c>
      <c r="E48" t="n">
        <v>21041.19025432554</v>
      </c>
      <c r="F48" s="2" t="n">
        <v>45352</v>
      </c>
    </row>
    <row r="49">
      <c r="A49" t="inlineStr">
        <is>
          <t>Hospital A</t>
        </is>
      </c>
      <c r="B49" t="inlineStr">
        <is>
          <t>Produto A</t>
        </is>
      </c>
      <c r="C49" t="n">
        <v>8</v>
      </c>
      <c r="D49" t="n">
        <v>1809.790955669255</v>
      </c>
      <c r="E49" t="n">
        <v>14478.32764535404</v>
      </c>
      <c r="F49" s="2" t="n">
        <v>45352</v>
      </c>
    </row>
    <row r="50">
      <c r="A50" t="inlineStr">
        <is>
          <t>Clínica B</t>
        </is>
      </c>
      <c r="B50" t="inlineStr">
        <is>
          <t>Produto A</t>
        </is>
      </c>
      <c r="C50" t="n">
        <v>44</v>
      </c>
      <c r="D50" t="n">
        <v>1729.536222993412</v>
      </c>
      <c r="E50" t="n">
        <v>76099.59381171012</v>
      </c>
      <c r="F50" s="2" t="n">
        <v>45352</v>
      </c>
    </row>
    <row r="51">
      <c r="A51" t="inlineStr">
        <is>
          <t>Hospital D</t>
        </is>
      </c>
      <c r="B51" t="inlineStr">
        <is>
          <t>Produto B</t>
        </is>
      </c>
      <c r="C51" t="n">
        <v>8</v>
      </c>
      <c r="D51" t="n">
        <v>1613.43276562824</v>
      </c>
      <c r="E51" t="n">
        <v>12907.46212502592</v>
      </c>
      <c r="F51" s="2" t="n">
        <v>45352</v>
      </c>
    </row>
    <row r="52">
      <c r="A52" t="inlineStr">
        <is>
          <t>Clínica B</t>
        </is>
      </c>
      <c r="B52" t="inlineStr">
        <is>
          <t>Produto C</t>
        </is>
      </c>
      <c r="C52" t="n">
        <v>29</v>
      </c>
      <c r="D52" t="n">
        <v>2157.822970897368</v>
      </c>
      <c r="E52" t="n">
        <v>62576.86615602367</v>
      </c>
      <c r="F52" s="2" t="n">
        <v>45352</v>
      </c>
    </row>
    <row r="53">
      <c r="A53" t="inlineStr">
        <is>
          <t>Clínica B</t>
        </is>
      </c>
      <c r="B53" t="inlineStr">
        <is>
          <t>Produto B</t>
        </is>
      </c>
      <c r="C53" t="n">
        <v>7</v>
      </c>
      <c r="D53" t="n">
        <v>1018.304608477067</v>
      </c>
      <c r="E53" t="n">
        <v>7128.132259339469</v>
      </c>
      <c r="F53" s="2" t="n">
        <v>45352</v>
      </c>
    </row>
    <row r="54">
      <c r="A54" t="inlineStr">
        <is>
          <t>Laboratório C</t>
        </is>
      </c>
      <c r="B54" t="inlineStr">
        <is>
          <t>Produto A</t>
        </is>
      </c>
      <c r="C54" t="n">
        <v>36</v>
      </c>
      <c r="D54" t="n">
        <v>1897.664051807841</v>
      </c>
      <c r="E54" t="n">
        <v>68315.90586508227</v>
      </c>
      <c r="F54" s="2" t="n">
        <v>45352</v>
      </c>
    </row>
    <row r="55">
      <c r="A55" t="inlineStr">
        <is>
          <t>Hospital A</t>
        </is>
      </c>
      <c r="B55" t="inlineStr">
        <is>
          <t>Produto B</t>
        </is>
      </c>
      <c r="C55" t="n">
        <v>7</v>
      </c>
      <c r="D55" t="n">
        <v>1848.262520984461</v>
      </c>
      <c r="E55" t="n">
        <v>12937.83764689123</v>
      </c>
      <c r="F55" s="2" t="n">
        <v>45352</v>
      </c>
    </row>
    <row r="56">
      <c r="A56" t="inlineStr">
        <is>
          <t>Hospital D</t>
        </is>
      </c>
      <c r="B56" t="inlineStr">
        <is>
          <t>Produto A</t>
        </is>
      </c>
      <c r="C56" t="n">
        <v>31</v>
      </c>
      <c r="D56" t="n">
        <v>2074.268612099429</v>
      </c>
      <c r="E56" t="n">
        <v>64302.3269750823</v>
      </c>
      <c r="F56" s="2" t="n">
        <v>45352</v>
      </c>
    </row>
    <row r="57">
      <c r="A57" t="inlineStr">
        <is>
          <t>Laboratório C</t>
        </is>
      </c>
      <c r="B57" t="inlineStr">
        <is>
          <t>Produto B</t>
        </is>
      </c>
      <c r="C57" t="n">
        <v>33</v>
      </c>
      <c r="D57" t="n">
        <v>1898.54404716599</v>
      </c>
      <c r="E57" t="n">
        <v>62651.95355647767</v>
      </c>
      <c r="F57" s="2" t="n">
        <v>45352</v>
      </c>
    </row>
    <row r="58">
      <c r="A58" t="inlineStr">
        <is>
          <t>Laboratório C</t>
        </is>
      </c>
      <c r="B58" t="inlineStr">
        <is>
          <t>Produto C</t>
        </is>
      </c>
      <c r="C58" t="n">
        <v>36</v>
      </c>
      <c r="D58" t="n">
        <v>2240.198241713618</v>
      </c>
      <c r="E58" t="n">
        <v>80647.13670169024</v>
      </c>
      <c r="F58" s="2" t="n">
        <v>45352</v>
      </c>
    </row>
    <row r="59">
      <c r="A59" t="inlineStr">
        <is>
          <t>Hospital D</t>
        </is>
      </c>
      <c r="B59" t="inlineStr">
        <is>
          <t>Produto B</t>
        </is>
      </c>
      <c r="C59" t="n">
        <v>23</v>
      </c>
      <c r="D59" t="n">
        <v>2438.612191846042</v>
      </c>
      <c r="E59" t="n">
        <v>56088.08041245897</v>
      </c>
      <c r="F59" s="2" t="n">
        <v>45352</v>
      </c>
    </row>
    <row r="60">
      <c r="A60" t="inlineStr">
        <is>
          <t>Clínica B</t>
        </is>
      </c>
      <c r="B60" t="inlineStr">
        <is>
          <t>Produto B</t>
        </is>
      </c>
      <c r="C60" t="n">
        <v>25</v>
      </c>
      <c r="D60" t="n">
        <v>1513.786385767815</v>
      </c>
      <c r="E60" t="n">
        <v>37844.65964419538</v>
      </c>
      <c r="F60" s="2" t="n">
        <v>45352</v>
      </c>
    </row>
    <row r="61">
      <c r="A61" t="inlineStr">
        <is>
          <t>Laboratório C</t>
        </is>
      </c>
      <c r="B61" t="inlineStr">
        <is>
          <t>Produto A</t>
        </is>
      </c>
      <c r="C61" t="n">
        <v>9</v>
      </c>
      <c r="D61" t="n">
        <v>1341.026474544981</v>
      </c>
      <c r="E61" t="n">
        <v>12069.23827090483</v>
      </c>
      <c r="F61" s="2" t="n">
        <v>45352</v>
      </c>
    </row>
    <row r="62">
      <c r="A62" t="inlineStr">
        <is>
          <t>Clínica B</t>
        </is>
      </c>
      <c r="B62" t="inlineStr">
        <is>
          <t>Produto A</t>
        </is>
      </c>
      <c r="C62" t="n">
        <v>22</v>
      </c>
      <c r="D62" t="n">
        <v>1635.395293630724</v>
      </c>
      <c r="E62" t="n">
        <v>35978.69645987593</v>
      </c>
      <c r="F62" s="2" t="n">
        <v>45383</v>
      </c>
    </row>
    <row r="63">
      <c r="A63" t="inlineStr">
        <is>
          <t>Hospital A</t>
        </is>
      </c>
      <c r="B63" t="inlineStr">
        <is>
          <t>Produto A</t>
        </is>
      </c>
      <c r="C63" t="n">
        <v>32</v>
      </c>
      <c r="D63" t="n">
        <v>1431.894424713589</v>
      </c>
      <c r="E63" t="n">
        <v>45820.62159083485</v>
      </c>
      <c r="F63" s="2" t="n">
        <v>45383</v>
      </c>
    </row>
    <row r="64">
      <c r="A64" t="inlineStr">
        <is>
          <t>Clínica B</t>
        </is>
      </c>
      <c r="B64" t="inlineStr">
        <is>
          <t>Produto B</t>
        </is>
      </c>
      <c r="C64" t="n">
        <v>46</v>
      </c>
      <c r="D64" t="n">
        <v>1922.425394728982</v>
      </c>
      <c r="E64" t="n">
        <v>88431.56815753317</v>
      </c>
      <c r="F64" s="2" t="n">
        <v>45383</v>
      </c>
    </row>
    <row r="65">
      <c r="A65" t="inlineStr">
        <is>
          <t>Hospital A</t>
        </is>
      </c>
      <c r="B65" t="inlineStr">
        <is>
          <t>Produto C</t>
        </is>
      </c>
      <c r="C65" t="n">
        <v>26</v>
      </c>
      <c r="D65" t="n">
        <v>2367.778613264447</v>
      </c>
      <c r="E65" t="n">
        <v>61562.24394487562</v>
      </c>
      <c r="F65" s="2" t="n">
        <v>45383</v>
      </c>
    </row>
    <row r="66">
      <c r="A66" t="inlineStr">
        <is>
          <t>Clínica B</t>
        </is>
      </c>
      <c r="B66" t="inlineStr">
        <is>
          <t>Produto A</t>
        </is>
      </c>
      <c r="C66" t="n">
        <v>25</v>
      </c>
      <c r="D66" t="n">
        <v>1208.674291214593</v>
      </c>
      <c r="E66" t="n">
        <v>30216.85728036483</v>
      </c>
      <c r="F66" s="2" t="n">
        <v>45383</v>
      </c>
    </row>
    <row r="67">
      <c r="A67" t="inlineStr">
        <is>
          <t>Laboratório C</t>
        </is>
      </c>
      <c r="B67" t="inlineStr">
        <is>
          <t>Produto A</t>
        </is>
      </c>
      <c r="C67" t="n">
        <v>10</v>
      </c>
      <c r="D67" t="n">
        <v>1151.19190452383</v>
      </c>
      <c r="E67" t="n">
        <v>11511.9190452383</v>
      </c>
      <c r="F67" s="2" t="n">
        <v>45383</v>
      </c>
    </row>
    <row r="68">
      <c r="A68" t="inlineStr">
        <is>
          <t>Laboratório C</t>
        </is>
      </c>
      <c r="B68" t="inlineStr">
        <is>
          <t>Produto B</t>
        </is>
      </c>
      <c r="C68" t="n">
        <v>5</v>
      </c>
      <c r="D68" t="n">
        <v>1384.023297780493</v>
      </c>
      <c r="E68" t="n">
        <v>6920.116488902466</v>
      </c>
      <c r="F68" s="2" t="n">
        <v>45383</v>
      </c>
    </row>
    <row r="69">
      <c r="A69" t="inlineStr">
        <is>
          <t>Hospital A</t>
        </is>
      </c>
      <c r="B69" t="inlineStr">
        <is>
          <t>Produto A</t>
        </is>
      </c>
      <c r="C69" t="n">
        <v>9</v>
      </c>
      <c r="D69" t="n">
        <v>2089.143379093601</v>
      </c>
      <c r="E69" t="n">
        <v>18802.29041184241</v>
      </c>
      <c r="F69" s="2" t="n">
        <v>45383</v>
      </c>
    </row>
    <row r="70">
      <c r="A70" t="inlineStr">
        <is>
          <t>Hospital D</t>
        </is>
      </c>
      <c r="B70" t="inlineStr">
        <is>
          <t>Produto C</t>
        </is>
      </c>
      <c r="C70" t="n">
        <v>45</v>
      </c>
      <c r="D70" t="n">
        <v>1889.444357888232</v>
      </c>
      <c r="E70" t="n">
        <v>85024.99610497044</v>
      </c>
      <c r="F70" s="2" t="n">
        <v>45383</v>
      </c>
    </row>
    <row r="71">
      <c r="A71" t="inlineStr">
        <is>
          <t>Hospital A</t>
        </is>
      </c>
      <c r="B71" t="inlineStr">
        <is>
          <t>Produto C</t>
        </is>
      </c>
      <c r="C71" t="n">
        <v>16</v>
      </c>
      <c r="D71" t="n">
        <v>1153.318996337799</v>
      </c>
      <c r="E71" t="n">
        <v>18453.10394140478</v>
      </c>
      <c r="F71" s="2" t="n">
        <v>45383</v>
      </c>
    </row>
    <row r="72">
      <c r="A72" t="inlineStr">
        <is>
          <t>Hospital A</t>
        </is>
      </c>
      <c r="B72" t="inlineStr">
        <is>
          <t>Produto A</t>
        </is>
      </c>
      <c r="C72" t="n">
        <v>30</v>
      </c>
      <c r="D72" t="n">
        <v>2378.12578339112</v>
      </c>
      <c r="E72" t="n">
        <v>71343.77350173359</v>
      </c>
      <c r="F72" s="2" t="n">
        <v>45383</v>
      </c>
    </row>
    <row r="73">
      <c r="A73" t="inlineStr">
        <is>
          <t>Clínica B</t>
        </is>
      </c>
      <c r="B73" t="inlineStr">
        <is>
          <t>Produto A</t>
        </is>
      </c>
      <c r="C73" t="n">
        <v>38</v>
      </c>
      <c r="D73" t="n">
        <v>2185.12695568613</v>
      </c>
      <c r="E73" t="n">
        <v>83034.82431607293</v>
      </c>
      <c r="F73" s="2" t="n">
        <v>45383</v>
      </c>
    </row>
    <row r="74">
      <c r="A74" t="inlineStr">
        <is>
          <t>Clínica B</t>
        </is>
      </c>
      <c r="B74" t="inlineStr">
        <is>
          <t>Produto B</t>
        </is>
      </c>
      <c r="C74" t="n">
        <v>18</v>
      </c>
      <c r="D74" t="n">
        <v>1034.533907181456</v>
      </c>
      <c r="E74" t="n">
        <v>18621.61032926621</v>
      </c>
      <c r="F74" s="2" t="n">
        <v>45383</v>
      </c>
    </row>
    <row r="75">
      <c r="A75" t="inlineStr">
        <is>
          <t>Hospital A</t>
        </is>
      </c>
      <c r="B75" t="inlineStr">
        <is>
          <t>Produto C</t>
        </is>
      </c>
      <c r="C75" t="n">
        <v>30</v>
      </c>
      <c r="D75" t="n">
        <v>1977.050816482369</v>
      </c>
      <c r="E75" t="n">
        <v>59311.52449447107</v>
      </c>
      <c r="F75" s="2" t="n">
        <v>45383</v>
      </c>
    </row>
    <row r="76">
      <c r="A76" t="inlineStr">
        <is>
          <t>Laboratório C</t>
        </is>
      </c>
      <c r="B76" t="inlineStr">
        <is>
          <t>Produto C</t>
        </is>
      </c>
      <c r="C76" t="n">
        <v>49</v>
      </c>
      <c r="D76" t="n">
        <v>2156.870002779607</v>
      </c>
      <c r="E76" t="n">
        <v>105686.6301362008</v>
      </c>
      <c r="F76" s="2" t="n">
        <v>45383</v>
      </c>
    </row>
    <row r="77">
      <c r="A77" t="inlineStr">
        <is>
          <t>Clínica B</t>
        </is>
      </c>
      <c r="B77" t="inlineStr">
        <is>
          <t>Produto A</t>
        </is>
      </c>
      <c r="C77" t="n">
        <v>31</v>
      </c>
      <c r="D77" t="n">
        <v>1561.653054580633</v>
      </c>
      <c r="E77" t="n">
        <v>48411.24469199962</v>
      </c>
      <c r="F77" s="2" t="n">
        <v>45383</v>
      </c>
    </row>
    <row r="78">
      <c r="A78" t="inlineStr">
        <is>
          <t>Hospital D</t>
        </is>
      </c>
      <c r="B78" t="inlineStr">
        <is>
          <t>Produto B</t>
        </is>
      </c>
      <c r="C78" t="n">
        <v>13</v>
      </c>
      <c r="D78" t="n">
        <v>1103.382309050828</v>
      </c>
      <c r="E78" t="n">
        <v>14343.97001766077</v>
      </c>
      <c r="F78" s="2" t="n">
        <v>45383</v>
      </c>
    </row>
    <row r="79">
      <c r="A79" t="inlineStr">
        <is>
          <t>Clínica B</t>
        </is>
      </c>
      <c r="B79" t="inlineStr">
        <is>
          <t>Produto C</t>
        </is>
      </c>
      <c r="C79" t="n">
        <v>30</v>
      </c>
      <c r="D79" t="n">
        <v>1115.981598233181</v>
      </c>
      <c r="E79" t="n">
        <v>33479.44794699543</v>
      </c>
      <c r="F79" s="2" t="n">
        <v>45383</v>
      </c>
    </row>
    <row r="80">
      <c r="A80" t="inlineStr">
        <is>
          <t>Clínica B</t>
        </is>
      </c>
      <c r="B80" t="inlineStr">
        <is>
          <t>Produto C</t>
        </is>
      </c>
      <c r="C80" t="n">
        <v>26</v>
      </c>
      <c r="D80" t="n">
        <v>1156.370449077714</v>
      </c>
      <c r="E80" t="n">
        <v>30065.63167602057</v>
      </c>
      <c r="F80" s="2" t="n">
        <v>45383</v>
      </c>
    </row>
    <row r="81">
      <c r="A81" t="inlineStr">
        <is>
          <t>Hospital D</t>
        </is>
      </c>
      <c r="B81" t="inlineStr">
        <is>
          <t>Produto B</t>
        </is>
      </c>
      <c r="C81" t="n">
        <v>34</v>
      </c>
      <c r="D81" t="n">
        <v>2260.659447970635</v>
      </c>
      <c r="E81" t="n">
        <v>76862.42123100159</v>
      </c>
      <c r="F81" s="2" t="n">
        <v>45383</v>
      </c>
    </row>
    <row r="82">
      <c r="A82" t="inlineStr">
        <is>
          <t>Hospital A</t>
        </is>
      </c>
      <c r="B82" t="inlineStr">
        <is>
          <t>Produto B</t>
        </is>
      </c>
      <c r="C82" t="n">
        <v>56</v>
      </c>
      <c r="D82" t="n">
        <v>2366.029297383569</v>
      </c>
      <c r="E82" t="n">
        <v>132497.6406534799</v>
      </c>
      <c r="F82" s="2" t="n">
        <v>45413</v>
      </c>
    </row>
    <row r="83">
      <c r="A83" t="inlineStr">
        <is>
          <t>Hospital D</t>
        </is>
      </c>
      <c r="B83" t="inlineStr">
        <is>
          <t>Produto C</t>
        </is>
      </c>
      <c r="C83" t="n">
        <v>25</v>
      </c>
      <c r="D83" t="n">
        <v>1184.216172768601</v>
      </c>
      <c r="E83" t="n">
        <v>29605.40431921502</v>
      </c>
      <c r="F83" s="2" t="n">
        <v>45413</v>
      </c>
    </row>
    <row r="84">
      <c r="A84" t="inlineStr">
        <is>
          <t>Hospital A</t>
        </is>
      </c>
      <c r="B84" t="inlineStr">
        <is>
          <t>Produto C</t>
        </is>
      </c>
      <c r="C84" t="n">
        <v>36</v>
      </c>
      <c r="D84" t="n">
        <v>1353.859051892622</v>
      </c>
      <c r="E84" t="n">
        <v>48738.92586813439</v>
      </c>
      <c r="F84" s="2" t="n">
        <v>45413</v>
      </c>
    </row>
    <row r="85">
      <c r="A85" t="inlineStr">
        <is>
          <t>Hospital A</t>
        </is>
      </c>
      <c r="B85" t="inlineStr">
        <is>
          <t>Produto B</t>
        </is>
      </c>
      <c r="C85" t="n">
        <v>48</v>
      </c>
      <c r="D85" t="n">
        <v>1248.280765550935</v>
      </c>
      <c r="E85" t="n">
        <v>59917.47674644488</v>
      </c>
      <c r="F85" s="2" t="n">
        <v>45413</v>
      </c>
    </row>
    <row r="86">
      <c r="A86" t="inlineStr">
        <is>
          <t>Hospital A</t>
        </is>
      </c>
      <c r="B86" t="inlineStr">
        <is>
          <t>Produto C</t>
        </is>
      </c>
      <c r="C86" t="n">
        <v>6</v>
      </c>
      <c r="D86" t="n">
        <v>1279.481319241181</v>
      </c>
      <c r="E86" t="n">
        <v>7676.887915447085</v>
      </c>
      <c r="F86" s="2" t="n">
        <v>45413</v>
      </c>
    </row>
    <row r="87">
      <c r="A87" t="inlineStr">
        <is>
          <t>Hospital D</t>
        </is>
      </c>
      <c r="B87" t="inlineStr">
        <is>
          <t>Produto A</t>
        </is>
      </c>
      <c r="C87" t="n">
        <v>14</v>
      </c>
      <c r="D87" t="n">
        <v>2256.236183503738</v>
      </c>
      <c r="E87" t="n">
        <v>31587.30656905234</v>
      </c>
      <c r="F87" s="2" t="n">
        <v>45413</v>
      </c>
    </row>
    <row r="88">
      <c r="A88" t="inlineStr">
        <is>
          <t>Hospital A</t>
        </is>
      </c>
      <c r="B88" t="inlineStr">
        <is>
          <t>Produto A</t>
        </is>
      </c>
      <c r="C88" t="n">
        <v>47</v>
      </c>
      <c r="D88" t="n">
        <v>1498.219618982409</v>
      </c>
      <c r="E88" t="n">
        <v>70416.32209217323</v>
      </c>
      <c r="F88" s="2" t="n">
        <v>45413</v>
      </c>
    </row>
    <row r="89">
      <c r="A89" t="inlineStr">
        <is>
          <t>Laboratório C</t>
        </is>
      </c>
      <c r="B89" t="inlineStr">
        <is>
          <t>Produto B</t>
        </is>
      </c>
      <c r="C89" t="n">
        <v>23</v>
      </c>
      <c r="D89" t="n">
        <v>1467.166396068462</v>
      </c>
      <c r="E89" t="n">
        <v>33744.82710957462</v>
      </c>
      <c r="F89" s="2" t="n">
        <v>45413</v>
      </c>
    </row>
    <row r="90">
      <c r="A90" t="inlineStr">
        <is>
          <t>Hospital D</t>
        </is>
      </c>
      <c r="B90" t="inlineStr">
        <is>
          <t>Produto B</t>
        </is>
      </c>
      <c r="C90" t="n">
        <v>31</v>
      </c>
      <c r="D90" t="n">
        <v>1341.093431315669</v>
      </c>
      <c r="E90" t="n">
        <v>41573.89637078574</v>
      </c>
      <c r="F90" s="2" t="n">
        <v>45413</v>
      </c>
    </row>
    <row r="91">
      <c r="A91" t="inlineStr">
        <is>
          <t>Laboratório C</t>
        </is>
      </c>
      <c r="B91" t="inlineStr">
        <is>
          <t>Produto B</t>
        </is>
      </c>
      <c r="C91" t="n">
        <v>22</v>
      </c>
      <c r="D91" t="n">
        <v>1911.841590691388</v>
      </c>
      <c r="E91" t="n">
        <v>42060.51499521053</v>
      </c>
      <c r="F91" s="2" t="n">
        <v>45413</v>
      </c>
    </row>
    <row r="92">
      <c r="A92" t="inlineStr">
        <is>
          <t>Hospital A</t>
        </is>
      </c>
      <c r="B92" t="inlineStr">
        <is>
          <t>Produto A</t>
        </is>
      </c>
      <c r="C92" t="n">
        <v>36</v>
      </c>
      <c r="D92" t="n">
        <v>1568.958547578323</v>
      </c>
      <c r="E92" t="n">
        <v>56482.50771281963</v>
      </c>
      <c r="F92" s="2" t="n">
        <v>45413</v>
      </c>
    </row>
    <row r="93">
      <c r="A93" t="inlineStr">
        <is>
          <t>Clínica B</t>
        </is>
      </c>
      <c r="B93" t="inlineStr">
        <is>
          <t>Produto C</t>
        </is>
      </c>
      <c r="C93" t="n">
        <v>38</v>
      </c>
      <c r="D93" t="n">
        <v>2116.374477764934</v>
      </c>
      <c r="E93" t="n">
        <v>80422.23015506749</v>
      </c>
      <c r="F93" s="2" t="n">
        <v>45413</v>
      </c>
    </row>
    <row r="94">
      <c r="A94" t="inlineStr">
        <is>
          <t>Hospital A</t>
        </is>
      </c>
      <c r="B94" t="inlineStr">
        <is>
          <t>Produto A</t>
        </is>
      </c>
      <c r="C94" t="n">
        <v>32</v>
      </c>
      <c r="D94" t="n">
        <v>1308.369712563456</v>
      </c>
      <c r="E94" t="n">
        <v>41867.83080203059</v>
      </c>
      <c r="F94" s="2" t="n">
        <v>45413</v>
      </c>
    </row>
    <row r="95">
      <c r="A95" t="inlineStr">
        <is>
          <t>Laboratório C</t>
        </is>
      </c>
      <c r="B95" t="inlineStr">
        <is>
          <t>Produto C</t>
        </is>
      </c>
      <c r="C95" t="n">
        <v>22</v>
      </c>
      <c r="D95" t="n">
        <v>2181.684833071738</v>
      </c>
      <c r="E95" t="n">
        <v>47997.06632757824</v>
      </c>
      <c r="F95" s="2" t="n">
        <v>45413</v>
      </c>
    </row>
    <row r="96">
      <c r="A96" t="inlineStr">
        <is>
          <t>Laboratório C</t>
        </is>
      </c>
      <c r="B96" t="inlineStr">
        <is>
          <t>Produto A</t>
        </is>
      </c>
      <c r="C96" t="n">
        <v>34</v>
      </c>
      <c r="D96" t="n">
        <v>1905.582297595209</v>
      </c>
      <c r="E96" t="n">
        <v>64789.79811823711</v>
      </c>
      <c r="F96" s="2" t="n">
        <v>45413</v>
      </c>
    </row>
    <row r="97">
      <c r="A97" t="inlineStr">
        <is>
          <t>Hospital D</t>
        </is>
      </c>
      <c r="B97" t="inlineStr">
        <is>
          <t>Produto C</t>
        </is>
      </c>
      <c r="C97" t="n">
        <v>7</v>
      </c>
      <c r="D97" t="n">
        <v>1171.400950083532</v>
      </c>
      <c r="E97" t="n">
        <v>8199.806650584724</v>
      </c>
      <c r="F97" s="2" t="n">
        <v>45413</v>
      </c>
    </row>
    <row r="98">
      <c r="A98" t="inlineStr">
        <is>
          <t>Clínica B</t>
        </is>
      </c>
      <c r="B98" t="inlineStr">
        <is>
          <t>Produto A</t>
        </is>
      </c>
      <c r="C98" t="n">
        <v>59</v>
      </c>
      <c r="D98" t="n">
        <v>1621.756876305441</v>
      </c>
      <c r="E98" t="n">
        <v>95683.65570202102</v>
      </c>
      <c r="F98" s="2" t="n">
        <v>45413</v>
      </c>
    </row>
    <row r="99">
      <c r="A99" t="inlineStr">
        <is>
          <t>Hospital D</t>
        </is>
      </c>
      <c r="B99" t="inlineStr">
        <is>
          <t>Produto B</t>
        </is>
      </c>
      <c r="C99" t="n">
        <v>36</v>
      </c>
      <c r="D99" t="n">
        <v>2295.277210919436</v>
      </c>
      <c r="E99" t="n">
        <v>82629.97959309971</v>
      </c>
      <c r="F99" s="2" t="n">
        <v>45413</v>
      </c>
    </row>
    <row r="100">
      <c r="A100" t="inlineStr">
        <is>
          <t>Laboratório C</t>
        </is>
      </c>
      <c r="B100" t="inlineStr">
        <is>
          <t>Produto A</t>
        </is>
      </c>
      <c r="C100" t="n">
        <v>22</v>
      </c>
      <c r="D100" t="n">
        <v>2384.440347697727</v>
      </c>
      <c r="E100" t="n">
        <v>52457.68764934999</v>
      </c>
      <c r="F100" s="2" t="n">
        <v>45413</v>
      </c>
    </row>
    <row r="101">
      <c r="A101" t="inlineStr">
        <is>
          <t>Hospital A</t>
        </is>
      </c>
      <c r="B101" t="inlineStr">
        <is>
          <t>Produto C</t>
        </is>
      </c>
      <c r="C101" t="n">
        <v>13</v>
      </c>
      <c r="D101" t="n">
        <v>1698.55018347822</v>
      </c>
      <c r="E101" t="n">
        <v>22081.15238521686</v>
      </c>
      <c r="F101" s="2" t="n">
        <v>45413</v>
      </c>
    </row>
    <row r="102">
      <c r="A102" t="inlineStr">
        <is>
          <t>Clínica B</t>
        </is>
      </c>
      <c r="B102" t="inlineStr">
        <is>
          <t>Produto A</t>
        </is>
      </c>
      <c r="C102" t="n">
        <v>7</v>
      </c>
      <c r="D102" t="n">
        <v>1721.25546713361</v>
      </c>
      <c r="E102" t="n">
        <v>12048.78826993527</v>
      </c>
      <c r="F102" s="2" t="n">
        <v>45444</v>
      </c>
    </row>
    <row r="103">
      <c r="A103" t="inlineStr">
        <is>
          <t>Hospital A</t>
        </is>
      </c>
      <c r="B103" t="inlineStr">
        <is>
          <t>Produto A</t>
        </is>
      </c>
      <c r="C103" t="n">
        <v>27</v>
      </c>
      <c r="D103" t="n">
        <v>2377.682087408952</v>
      </c>
      <c r="E103" t="n">
        <v>64197.41636004171</v>
      </c>
      <c r="F103" s="2" t="n">
        <v>45444</v>
      </c>
    </row>
    <row r="104">
      <c r="A104" t="inlineStr">
        <is>
          <t>Hospital A</t>
        </is>
      </c>
      <c r="B104" t="inlineStr">
        <is>
          <t>Produto A</t>
        </is>
      </c>
      <c r="C104" t="n">
        <v>47</v>
      </c>
      <c r="D104" t="n">
        <v>1880.602336204851</v>
      </c>
      <c r="E104" t="n">
        <v>88388.309801628</v>
      </c>
      <c r="F104" s="2" t="n">
        <v>45444</v>
      </c>
    </row>
    <row r="105">
      <c r="A105" t="inlineStr">
        <is>
          <t>Clínica B</t>
        </is>
      </c>
      <c r="B105" t="inlineStr">
        <is>
          <t>Produto B</t>
        </is>
      </c>
      <c r="C105" t="n">
        <v>49</v>
      </c>
      <c r="D105" t="n">
        <v>1049.270005365157</v>
      </c>
      <c r="E105" t="n">
        <v>51414.23026289269</v>
      </c>
      <c r="F105" s="2" t="n">
        <v>45444</v>
      </c>
    </row>
    <row r="106">
      <c r="A106" t="inlineStr">
        <is>
          <t>Hospital D</t>
        </is>
      </c>
      <c r="B106" t="inlineStr">
        <is>
          <t>Produto A</t>
        </is>
      </c>
      <c r="C106" t="n">
        <v>22</v>
      </c>
      <c r="D106" t="n">
        <v>2369.124194318693</v>
      </c>
      <c r="E106" t="n">
        <v>52120.73227501124</v>
      </c>
      <c r="F106" s="2" t="n">
        <v>45444</v>
      </c>
    </row>
    <row r="107">
      <c r="A107" t="inlineStr">
        <is>
          <t>Hospital A</t>
        </is>
      </c>
      <c r="B107" t="inlineStr">
        <is>
          <t>Produto B</t>
        </is>
      </c>
      <c r="C107" t="n">
        <v>42</v>
      </c>
      <c r="D107" t="n">
        <v>1372.339664135728</v>
      </c>
      <c r="E107" t="n">
        <v>57638.26589370058</v>
      </c>
      <c r="F107" s="2" t="n">
        <v>45444</v>
      </c>
    </row>
    <row r="108">
      <c r="A108" t="inlineStr">
        <is>
          <t>Laboratório C</t>
        </is>
      </c>
      <c r="B108" t="inlineStr">
        <is>
          <t>Produto B</t>
        </is>
      </c>
      <c r="C108" t="n">
        <v>39</v>
      </c>
      <c r="D108" t="n">
        <v>1866.447931137321</v>
      </c>
      <c r="E108" t="n">
        <v>72791.46931435552</v>
      </c>
      <c r="F108" s="2" t="n">
        <v>45444</v>
      </c>
    </row>
    <row r="109">
      <c r="A109" t="inlineStr">
        <is>
          <t>Hospital A</t>
        </is>
      </c>
      <c r="B109" t="inlineStr">
        <is>
          <t>Produto A</t>
        </is>
      </c>
      <c r="C109" t="n">
        <v>19</v>
      </c>
      <c r="D109" t="n">
        <v>1248.269976141961</v>
      </c>
      <c r="E109" t="n">
        <v>23717.12954669726</v>
      </c>
      <c r="F109" s="2" t="n">
        <v>45444</v>
      </c>
    </row>
    <row r="110">
      <c r="A110" t="inlineStr">
        <is>
          <t>Clínica B</t>
        </is>
      </c>
      <c r="B110" t="inlineStr">
        <is>
          <t>Produto A</t>
        </is>
      </c>
      <c r="C110" t="n">
        <v>29</v>
      </c>
      <c r="D110" t="n">
        <v>1050.818740369893</v>
      </c>
      <c r="E110" t="n">
        <v>30473.7434707269</v>
      </c>
      <c r="F110" s="2" t="n">
        <v>45444</v>
      </c>
    </row>
    <row r="111">
      <c r="A111" t="inlineStr">
        <is>
          <t>Clínica B</t>
        </is>
      </c>
      <c r="B111" t="inlineStr">
        <is>
          <t>Produto A</t>
        </is>
      </c>
      <c r="C111" t="n">
        <v>41</v>
      </c>
      <c r="D111" t="n">
        <v>1467.209756699136</v>
      </c>
      <c r="E111" t="n">
        <v>60155.60002466458</v>
      </c>
      <c r="F111" s="2" t="n">
        <v>45444</v>
      </c>
    </row>
    <row r="112">
      <c r="A112" t="inlineStr">
        <is>
          <t>Clínica B</t>
        </is>
      </c>
      <c r="B112" t="inlineStr">
        <is>
          <t>Produto C</t>
        </is>
      </c>
      <c r="C112" t="n">
        <v>32</v>
      </c>
      <c r="D112" t="n">
        <v>2170.743561319131</v>
      </c>
      <c r="E112" t="n">
        <v>69463.79396221219</v>
      </c>
      <c r="F112" s="2" t="n">
        <v>45444</v>
      </c>
    </row>
    <row r="113">
      <c r="A113" t="inlineStr">
        <is>
          <t>Hospital D</t>
        </is>
      </c>
      <c r="B113" t="inlineStr">
        <is>
          <t>Produto A</t>
        </is>
      </c>
      <c r="C113" t="n">
        <v>14</v>
      </c>
      <c r="D113" t="n">
        <v>1416.380758944127</v>
      </c>
      <c r="E113" t="n">
        <v>19829.33062521778</v>
      </c>
      <c r="F113" s="2" t="n">
        <v>45444</v>
      </c>
    </row>
    <row r="114">
      <c r="A114" t="inlineStr">
        <is>
          <t>Hospital A</t>
        </is>
      </c>
      <c r="B114" t="inlineStr">
        <is>
          <t>Produto B</t>
        </is>
      </c>
      <c r="C114" t="n">
        <v>43</v>
      </c>
      <c r="D114" t="n">
        <v>1330.145821121646</v>
      </c>
      <c r="E114" t="n">
        <v>57196.27030823077</v>
      </c>
      <c r="F114" s="2" t="n">
        <v>45444</v>
      </c>
    </row>
    <row r="115">
      <c r="A115" t="inlineStr">
        <is>
          <t>Hospital D</t>
        </is>
      </c>
      <c r="B115" t="inlineStr">
        <is>
          <t>Produto A</t>
        </is>
      </c>
      <c r="C115" t="n">
        <v>21</v>
      </c>
      <c r="D115" t="n">
        <v>1319.021176511839</v>
      </c>
      <c r="E115" t="n">
        <v>27699.44470674862</v>
      </c>
      <c r="F115" s="2" t="n">
        <v>45444</v>
      </c>
    </row>
    <row r="116">
      <c r="A116" t="inlineStr">
        <is>
          <t>Hospital D</t>
        </is>
      </c>
      <c r="B116" t="inlineStr">
        <is>
          <t>Produto C</t>
        </is>
      </c>
      <c r="C116" t="n">
        <v>43</v>
      </c>
      <c r="D116" t="n">
        <v>1772.760523610219</v>
      </c>
      <c r="E116" t="n">
        <v>76228.70251523942</v>
      </c>
      <c r="F116" s="2" t="n">
        <v>45444</v>
      </c>
    </row>
    <row r="117">
      <c r="A117" t="inlineStr">
        <is>
          <t>Clínica B</t>
        </is>
      </c>
      <c r="B117" t="inlineStr">
        <is>
          <t>Produto A</t>
        </is>
      </c>
      <c r="C117" t="n">
        <v>26</v>
      </c>
      <c r="D117" t="n">
        <v>2463.311973524134</v>
      </c>
      <c r="E117" t="n">
        <v>64046.11131162748</v>
      </c>
      <c r="F117" s="2" t="n">
        <v>45444</v>
      </c>
    </row>
    <row r="118">
      <c r="A118" t="inlineStr">
        <is>
          <t>Clínica B</t>
        </is>
      </c>
      <c r="B118" t="inlineStr">
        <is>
          <t>Produto C</t>
        </is>
      </c>
      <c r="C118" t="n">
        <v>30</v>
      </c>
      <c r="D118" t="n">
        <v>1688.48348202552</v>
      </c>
      <c r="E118" t="n">
        <v>50654.5044607656</v>
      </c>
      <c r="F118" s="2" t="n">
        <v>45444</v>
      </c>
    </row>
    <row r="119">
      <c r="A119" t="inlineStr">
        <is>
          <t>Hospital D</t>
        </is>
      </c>
      <c r="B119" t="inlineStr">
        <is>
          <t>Produto C</t>
        </is>
      </c>
      <c r="C119" t="n">
        <v>48</v>
      </c>
      <c r="D119" t="n">
        <v>1835.958053335072</v>
      </c>
      <c r="E119" t="n">
        <v>88125.98656008346</v>
      </c>
      <c r="F119" s="2" t="n">
        <v>45444</v>
      </c>
    </row>
    <row r="120">
      <c r="A120" t="inlineStr">
        <is>
          <t>Hospital A</t>
        </is>
      </c>
      <c r="B120" t="inlineStr">
        <is>
          <t>Produto A</t>
        </is>
      </c>
      <c r="C120" t="n">
        <v>29</v>
      </c>
      <c r="D120" t="n">
        <v>2290.948026836101</v>
      </c>
      <c r="E120" t="n">
        <v>66437.49277824692</v>
      </c>
      <c r="F120" s="2" t="n">
        <v>45444</v>
      </c>
    </row>
    <row r="121">
      <c r="A121" t="inlineStr">
        <is>
          <t>Laboratório C</t>
        </is>
      </c>
      <c r="B121" t="inlineStr">
        <is>
          <t>Produto B</t>
        </is>
      </c>
      <c r="C121" t="n">
        <v>21</v>
      </c>
      <c r="D121" t="n">
        <v>1802.604578400488</v>
      </c>
      <c r="E121" t="n">
        <v>37854.69614641025</v>
      </c>
      <c r="F121" s="2" t="n">
        <v>45444</v>
      </c>
    </row>
    <row r="122">
      <c r="A122" t="inlineStr">
        <is>
          <t>Hospital D</t>
        </is>
      </c>
      <c r="B122" t="inlineStr">
        <is>
          <t>Produto C</t>
        </is>
      </c>
      <c r="C122" t="n">
        <v>17</v>
      </c>
      <c r="D122" t="n">
        <v>1276.694307128284</v>
      </c>
      <c r="E122" t="n">
        <v>21703.80322118083</v>
      </c>
      <c r="F122" s="2" t="n">
        <v>45474</v>
      </c>
    </row>
    <row r="123">
      <c r="A123" t="inlineStr">
        <is>
          <t>Hospital A</t>
        </is>
      </c>
      <c r="B123" t="inlineStr">
        <is>
          <t>Produto A</t>
        </is>
      </c>
      <c r="C123" t="n">
        <v>24</v>
      </c>
      <c r="D123" t="n">
        <v>1449.393867649716</v>
      </c>
      <c r="E123" t="n">
        <v>34785.45282359318</v>
      </c>
      <c r="F123" s="2" t="n">
        <v>45474</v>
      </c>
    </row>
    <row r="124">
      <c r="A124" t="inlineStr">
        <is>
          <t>Clínica B</t>
        </is>
      </c>
      <c r="B124" t="inlineStr">
        <is>
          <t>Produto A</t>
        </is>
      </c>
      <c r="C124" t="n">
        <v>29</v>
      </c>
      <c r="D124" t="n">
        <v>1464.905389402916</v>
      </c>
      <c r="E124" t="n">
        <v>42482.25629268456</v>
      </c>
      <c r="F124" s="2" t="n">
        <v>45474</v>
      </c>
    </row>
    <row r="125">
      <c r="A125" t="inlineStr">
        <is>
          <t>Clínica B</t>
        </is>
      </c>
      <c r="B125" t="inlineStr">
        <is>
          <t>Produto B</t>
        </is>
      </c>
      <c r="C125" t="n">
        <v>8</v>
      </c>
      <c r="D125" t="n">
        <v>1595.977173186397</v>
      </c>
      <c r="E125" t="n">
        <v>12767.81738549118</v>
      </c>
      <c r="F125" s="2" t="n">
        <v>45474</v>
      </c>
    </row>
    <row r="126">
      <c r="A126" t="inlineStr">
        <is>
          <t>Hospital A</t>
        </is>
      </c>
      <c r="B126" t="inlineStr">
        <is>
          <t>Produto C</t>
        </is>
      </c>
      <c r="C126" t="n">
        <v>14</v>
      </c>
      <c r="D126" t="n">
        <v>1640.183358005124</v>
      </c>
      <c r="E126" t="n">
        <v>22962.56701207174</v>
      </c>
      <c r="F126" s="2" t="n">
        <v>45474</v>
      </c>
    </row>
    <row r="127">
      <c r="A127" t="inlineStr">
        <is>
          <t>Laboratório C</t>
        </is>
      </c>
      <c r="B127" t="inlineStr">
        <is>
          <t>Produto C</t>
        </is>
      </c>
      <c r="C127" t="n">
        <v>7</v>
      </c>
      <c r="D127" t="n">
        <v>2199.673033111404</v>
      </c>
      <c r="E127" t="n">
        <v>15397.71123177983</v>
      </c>
      <c r="F127" s="2" t="n">
        <v>45474</v>
      </c>
    </row>
    <row r="128">
      <c r="A128" t="inlineStr">
        <is>
          <t>Clínica B</t>
        </is>
      </c>
      <c r="B128" t="inlineStr">
        <is>
          <t>Produto A</t>
        </is>
      </c>
      <c r="C128" t="n">
        <v>45</v>
      </c>
      <c r="D128" t="n">
        <v>1524.080498574</v>
      </c>
      <c r="E128" t="n">
        <v>68583.62243583001</v>
      </c>
      <c r="F128" s="2" t="n">
        <v>45474</v>
      </c>
    </row>
    <row r="129">
      <c r="A129" t="inlineStr">
        <is>
          <t>Clínica B</t>
        </is>
      </c>
      <c r="B129" t="inlineStr">
        <is>
          <t>Produto A</t>
        </is>
      </c>
      <c r="C129" t="n">
        <v>49</v>
      </c>
      <c r="D129" t="n">
        <v>1702.347742662069</v>
      </c>
      <c r="E129" t="n">
        <v>83415.03939044138</v>
      </c>
      <c r="F129" s="2" t="n">
        <v>45474</v>
      </c>
    </row>
    <row r="130">
      <c r="A130" t="inlineStr">
        <is>
          <t>Clínica B</t>
        </is>
      </c>
      <c r="B130" t="inlineStr">
        <is>
          <t>Produto B</t>
        </is>
      </c>
      <c r="C130" t="n">
        <v>22</v>
      </c>
      <c r="D130" t="n">
        <v>1937.463980576578</v>
      </c>
      <c r="E130" t="n">
        <v>42624.20757268472</v>
      </c>
      <c r="F130" s="2" t="n">
        <v>45474</v>
      </c>
    </row>
    <row r="131">
      <c r="A131" t="inlineStr">
        <is>
          <t>Hospital A</t>
        </is>
      </c>
      <c r="B131" t="inlineStr">
        <is>
          <t>Produto B</t>
        </is>
      </c>
      <c r="C131" t="n">
        <v>40</v>
      </c>
      <c r="D131" t="n">
        <v>1566.588921160254</v>
      </c>
      <c r="E131" t="n">
        <v>62663.55684641015</v>
      </c>
      <c r="F131" s="2" t="n">
        <v>45474</v>
      </c>
    </row>
    <row r="132">
      <c r="A132" t="inlineStr">
        <is>
          <t>Hospital D</t>
        </is>
      </c>
      <c r="B132" t="inlineStr">
        <is>
          <t>Produto C</t>
        </is>
      </c>
      <c r="C132" t="n">
        <v>26</v>
      </c>
      <c r="D132" t="n">
        <v>2254.8472199385</v>
      </c>
      <c r="E132" t="n">
        <v>58626.027718401</v>
      </c>
      <c r="F132" s="2" t="n">
        <v>45474</v>
      </c>
    </row>
    <row r="133">
      <c r="A133" t="inlineStr">
        <is>
          <t>Clínica B</t>
        </is>
      </c>
      <c r="B133" t="inlineStr">
        <is>
          <t>Produto C</t>
        </is>
      </c>
      <c r="C133" t="n">
        <v>38</v>
      </c>
      <c r="D133" t="n">
        <v>1881.180406351112</v>
      </c>
      <c r="E133" t="n">
        <v>71484.85544134225</v>
      </c>
      <c r="F133" s="2" t="n">
        <v>45474</v>
      </c>
    </row>
    <row r="134">
      <c r="A134" t="inlineStr">
        <is>
          <t>Hospital D</t>
        </is>
      </c>
      <c r="B134" t="inlineStr">
        <is>
          <t>Produto A</t>
        </is>
      </c>
      <c r="C134" t="n">
        <v>12</v>
      </c>
      <c r="D134" t="n">
        <v>1441.067018831457</v>
      </c>
      <c r="E134" t="n">
        <v>17292.80422597748</v>
      </c>
      <c r="F134" s="2" t="n">
        <v>45474</v>
      </c>
    </row>
    <row r="135">
      <c r="A135" t="inlineStr">
        <is>
          <t>Laboratório C</t>
        </is>
      </c>
      <c r="B135" t="inlineStr">
        <is>
          <t>Produto C</t>
        </is>
      </c>
      <c r="C135" t="n">
        <v>44</v>
      </c>
      <c r="D135" t="n">
        <v>2071.088799684742</v>
      </c>
      <c r="E135" t="n">
        <v>91127.90718612864</v>
      </c>
      <c r="F135" s="2" t="n">
        <v>45474</v>
      </c>
    </row>
    <row r="136">
      <c r="A136" t="inlineStr">
        <is>
          <t>Clínica B</t>
        </is>
      </c>
      <c r="B136" t="inlineStr">
        <is>
          <t>Produto B</t>
        </is>
      </c>
      <c r="C136" t="n">
        <v>48</v>
      </c>
      <c r="D136" t="n">
        <v>1791.471595217179</v>
      </c>
      <c r="E136" t="n">
        <v>85990.63657042458</v>
      </c>
      <c r="F136" s="2" t="n">
        <v>45474</v>
      </c>
    </row>
    <row r="137">
      <c r="A137" t="inlineStr">
        <is>
          <t>Clínica B</t>
        </is>
      </c>
      <c r="B137" t="inlineStr">
        <is>
          <t>Produto B</t>
        </is>
      </c>
      <c r="C137" t="n">
        <v>23</v>
      </c>
      <c r="D137" t="n">
        <v>1801.68383688587</v>
      </c>
      <c r="E137" t="n">
        <v>41438.72824837501</v>
      </c>
      <c r="F137" s="2" t="n">
        <v>45474</v>
      </c>
    </row>
    <row r="138">
      <c r="A138" t="inlineStr">
        <is>
          <t>Laboratório C</t>
        </is>
      </c>
      <c r="B138" t="inlineStr">
        <is>
          <t>Produto A</t>
        </is>
      </c>
      <c r="C138" t="n">
        <v>46</v>
      </c>
      <c r="D138" t="n">
        <v>1721.631922581379</v>
      </c>
      <c r="E138" t="n">
        <v>79195.06843874343</v>
      </c>
      <c r="F138" s="2" t="n">
        <v>45474</v>
      </c>
    </row>
    <row r="139">
      <c r="A139" t="inlineStr">
        <is>
          <t>Clínica B</t>
        </is>
      </c>
      <c r="B139" t="inlineStr">
        <is>
          <t>Produto B</t>
        </is>
      </c>
      <c r="C139" t="n">
        <v>45</v>
      </c>
      <c r="D139" t="n">
        <v>1745.517923231874</v>
      </c>
      <c r="E139" t="n">
        <v>78548.30654543433</v>
      </c>
      <c r="F139" s="2" t="n">
        <v>45474</v>
      </c>
    </row>
    <row r="140">
      <c r="A140" t="inlineStr">
        <is>
          <t>Hospital D</t>
        </is>
      </c>
      <c r="B140" t="inlineStr">
        <is>
          <t>Produto B</t>
        </is>
      </c>
      <c r="C140" t="n">
        <v>41</v>
      </c>
      <c r="D140" t="n">
        <v>2148.034421599361</v>
      </c>
      <c r="E140" t="n">
        <v>88069.41128557379</v>
      </c>
      <c r="F140" s="2" t="n">
        <v>45474</v>
      </c>
    </row>
    <row r="141">
      <c r="A141" t="inlineStr">
        <is>
          <t>Hospital A</t>
        </is>
      </c>
      <c r="B141" t="inlineStr">
        <is>
          <t>Produto B</t>
        </is>
      </c>
      <c r="C141" t="n">
        <v>10</v>
      </c>
      <c r="D141" t="n">
        <v>1154.472218996973</v>
      </c>
      <c r="E141" t="n">
        <v>11544.72218996973</v>
      </c>
      <c r="F141" s="2" t="n">
        <v>45474</v>
      </c>
    </row>
    <row r="142">
      <c r="A142" t="inlineStr">
        <is>
          <t>Hospital D</t>
        </is>
      </c>
      <c r="B142" t="inlineStr">
        <is>
          <t>Produto B</t>
        </is>
      </c>
      <c r="C142" t="n">
        <v>36</v>
      </c>
      <c r="D142" t="n">
        <v>1501.544216965723</v>
      </c>
      <c r="E142" t="n">
        <v>54055.59181076603</v>
      </c>
      <c r="F142" s="2" t="n">
        <v>45505</v>
      </c>
    </row>
    <row r="143">
      <c r="A143" t="inlineStr">
        <is>
          <t>Hospital A</t>
        </is>
      </c>
      <c r="B143" t="inlineStr">
        <is>
          <t>Produto A</t>
        </is>
      </c>
      <c r="C143" t="n">
        <v>46</v>
      </c>
      <c r="D143" t="n">
        <v>1113.255045705834</v>
      </c>
      <c r="E143" t="n">
        <v>51209.73210246836</v>
      </c>
      <c r="F143" s="2" t="n">
        <v>45505</v>
      </c>
    </row>
    <row r="144">
      <c r="A144" t="inlineStr">
        <is>
          <t>Hospital A</t>
        </is>
      </c>
      <c r="B144" t="inlineStr">
        <is>
          <t>Produto A</t>
        </is>
      </c>
      <c r="C144" t="n">
        <v>59</v>
      </c>
      <c r="D144" t="n">
        <v>2129.869331121176</v>
      </c>
      <c r="E144" t="n">
        <v>125662.2905361494</v>
      </c>
      <c r="F144" s="2" t="n">
        <v>45505</v>
      </c>
    </row>
    <row r="145">
      <c r="A145" t="inlineStr">
        <is>
          <t>Hospital D</t>
        </is>
      </c>
      <c r="B145" t="inlineStr">
        <is>
          <t>Produto C</t>
        </is>
      </c>
      <c r="C145" t="n">
        <v>10</v>
      </c>
      <c r="D145" t="n">
        <v>1408.452782080449</v>
      </c>
      <c r="E145" t="n">
        <v>14084.52782080449</v>
      </c>
      <c r="F145" s="2" t="n">
        <v>45505</v>
      </c>
    </row>
    <row r="146">
      <c r="A146" t="inlineStr">
        <is>
          <t>Hospital D</t>
        </is>
      </c>
      <c r="B146" t="inlineStr">
        <is>
          <t>Produto B</t>
        </is>
      </c>
      <c r="C146" t="n">
        <v>49</v>
      </c>
      <c r="D146" t="n">
        <v>2346.145614728326</v>
      </c>
      <c r="E146" t="n">
        <v>114961.135121688</v>
      </c>
      <c r="F146" s="2" t="n">
        <v>45505</v>
      </c>
    </row>
    <row r="147">
      <c r="A147" t="inlineStr">
        <is>
          <t>Hospital D</t>
        </is>
      </c>
      <c r="B147" t="inlineStr">
        <is>
          <t>Produto C</t>
        </is>
      </c>
      <c r="C147" t="n">
        <v>37</v>
      </c>
      <c r="D147" t="n">
        <v>1789.867699988941</v>
      </c>
      <c r="E147" t="n">
        <v>66225.10489959082</v>
      </c>
      <c r="F147" s="2" t="n">
        <v>45505</v>
      </c>
    </row>
    <row r="148">
      <c r="A148" t="inlineStr">
        <is>
          <t>Hospital D</t>
        </is>
      </c>
      <c r="B148" t="inlineStr">
        <is>
          <t>Produto A</t>
        </is>
      </c>
      <c r="C148" t="n">
        <v>31</v>
      </c>
      <c r="D148" t="n">
        <v>2201.124657229182</v>
      </c>
      <c r="E148" t="n">
        <v>68234.86437410464</v>
      </c>
      <c r="F148" s="2" t="n">
        <v>45505</v>
      </c>
    </row>
    <row r="149">
      <c r="A149" t="inlineStr">
        <is>
          <t>Laboratório C</t>
        </is>
      </c>
      <c r="B149" t="inlineStr">
        <is>
          <t>Produto A</t>
        </is>
      </c>
      <c r="C149" t="n">
        <v>30</v>
      </c>
      <c r="D149" t="n">
        <v>2468.397153423942</v>
      </c>
      <c r="E149" t="n">
        <v>74051.91460271827</v>
      </c>
      <c r="F149" s="2" t="n">
        <v>45505</v>
      </c>
    </row>
    <row r="150">
      <c r="A150" t="inlineStr">
        <is>
          <t>Clínica B</t>
        </is>
      </c>
      <c r="B150" t="inlineStr">
        <is>
          <t>Produto A</t>
        </is>
      </c>
      <c r="C150" t="n">
        <v>12</v>
      </c>
      <c r="D150" t="n">
        <v>2259.683289184856</v>
      </c>
      <c r="E150" t="n">
        <v>27116.19947021827</v>
      </c>
      <c r="F150" s="2" t="n">
        <v>45505</v>
      </c>
    </row>
    <row r="151">
      <c r="A151" t="inlineStr">
        <is>
          <t>Hospital A</t>
        </is>
      </c>
      <c r="B151" t="inlineStr">
        <is>
          <t>Produto A</t>
        </is>
      </c>
      <c r="C151" t="n">
        <v>12</v>
      </c>
      <c r="D151" t="n">
        <v>2300.490640017285</v>
      </c>
      <c r="E151" t="n">
        <v>27605.88768020742</v>
      </c>
      <c r="F151" s="2" t="n">
        <v>45505</v>
      </c>
    </row>
    <row r="152">
      <c r="A152" t="inlineStr">
        <is>
          <t>Hospital D</t>
        </is>
      </c>
      <c r="B152" t="inlineStr">
        <is>
          <t>Produto A</t>
        </is>
      </c>
      <c r="C152" t="n">
        <v>10</v>
      </c>
      <c r="D152" t="n">
        <v>1611.976743047267</v>
      </c>
      <c r="E152" t="n">
        <v>16119.76743047267</v>
      </c>
      <c r="F152" s="2" t="n">
        <v>45505</v>
      </c>
    </row>
    <row r="153">
      <c r="A153" t="inlineStr">
        <is>
          <t>Hospital D</t>
        </is>
      </c>
      <c r="B153" t="inlineStr">
        <is>
          <t>Produto A</t>
        </is>
      </c>
      <c r="C153" t="n">
        <v>41</v>
      </c>
      <c r="D153" t="n">
        <v>1827.58389288901</v>
      </c>
      <c r="E153" t="n">
        <v>74930.93960844941</v>
      </c>
      <c r="F153" s="2" t="n">
        <v>45505</v>
      </c>
    </row>
    <row r="154">
      <c r="A154" t="inlineStr">
        <is>
          <t>Hospital D</t>
        </is>
      </c>
      <c r="B154" t="inlineStr">
        <is>
          <t>Produto A</t>
        </is>
      </c>
      <c r="C154" t="n">
        <v>18</v>
      </c>
      <c r="D154" t="n">
        <v>1380.832846064956</v>
      </c>
      <c r="E154" t="n">
        <v>24854.99122916921</v>
      </c>
      <c r="F154" s="2" t="n">
        <v>45505</v>
      </c>
    </row>
    <row r="155">
      <c r="A155" t="inlineStr">
        <is>
          <t>Laboratório C</t>
        </is>
      </c>
      <c r="B155" t="inlineStr">
        <is>
          <t>Produto B</t>
        </is>
      </c>
      <c r="C155" t="n">
        <v>41</v>
      </c>
      <c r="D155" t="n">
        <v>1294.169649540179</v>
      </c>
      <c r="E155" t="n">
        <v>53060.95563114734</v>
      </c>
      <c r="F155" s="2" t="n">
        <v>45505</v>
      </c>
    </row>
    <row r="156">
      <c r="A156" t="inlineStr">
        <is>
          <t>Hospital D</t>
        </is>
      </c>
      <c r="B156" t="inlineStr">
        <is>
          <t>Produto C</t>
        </is>
      </c>
      <c r="C156" t="n">
        <v>35</v>
      </c>
      <c r="D156" t="n">
        <v>1758.261818659051</v>
      </c>
      <c r="E156" t="n">
        <v>61539.16365306678</v>
      </c>
      <c r="F156" s="2" t="n">
        <v>45505</v>
      </c>
    </row>
    <row r="157">
      <c r="A157" t="inlineStr">
        <is>
          <t>Hospital D</t>
        </is>
      </c>
      <c r="B157" t="inlineStr">
        <is>
          <t>Produto A</t>
        </is>
      </c>
      <c r="C157" t="n">
        <v>34</v>
      </c>
      <c r="D157" t="n">
        <v>1892.573469550631</v>
      </c>
      <c r="E157" t="n">
        <v>64347.49796472146</v>
      </c>
      <c r="F157" s="2" t="n">
        <v>45505</v>
      </c>
    </row>
    <row r="158">
      <c r="A158" t="inlineStr">
        <is>
          <t>Hospital D</t>
        </is>
      </c>
      <c r="B158" t="inlineStr">
        <is>
          <t>Produto B</t>
        </is>
      </c>
      <c r="C158" t="n">
        <v>16</v>
      </c>
      <c r="D158" t="n">
        <v>1508.906868844286</v>
      </c>
      <c r="E158" t="n">
        <v>24142.50990150858</v>
      </c>
      <c r="F158" s="2" t="n">
        <v>45505</v>
      </c>
    </row>
    <row r="159">
      <c r="A159" t="inlineStr">
        <is>
          <t>Clínica B</t>
        </is>
      </c>
      <c r="B159" t="inlineStr">
        <is>
          <t>Produto B</t>
        </is>
      </c>
      <c r="C159" t="n">
        <v>8</v>
      </c>
      <c r="D159" t="n">
        <v>1854.165276645251</v>
      </c>
      <c r="E159" t="n">
        <v>14833.32221316201</v>
      </c>
      <c r="F159" s="2" t="n">
        <v>45505</v>
      </c>
    </row>
    <row r="160">
      <c r="A160" t="inlineStr">
        <is>
          <t>Laboratório C</t>
        </is>
      </c>
      <c r="B160" t="inlineStr">
        <is>
          <t>Produto C</t>
        </is>
      </c>
      <c r="C160" t="n">
        <v>35</v>
      </c>
      <c r="D160" t="n">
        <v>2331.190723770254</v>
      </c>
      <c r="E160" t="n">
        <v>81591.67533195889</v>
      </c>
      <c r="F160" s="2" t="n">
        <v>45505</v>
      </c>
    </row>
    <row r="161">
      <c r="A161" t="inlineStr">
        <is>
          <t>Hospital D</t>
        </is>
      </c>
      <c r="B161" t="inlineStr">
        <is>
          <t>Produto A</t>
        </is>
      </c>
      <c r="C161" t="n">
        <v>53</v>
      </c>
      <c r="D161" t="n">
        <v>1835.082377175049</v>
      </c>
      <c r="E161" t="n">
        <v>97259.3659902776</v>
      </c>
      <c r="F161" s="2" t="n">
        <v>45505</v>
      </c>
    </row>
    <row r="162">
      <c r="A162" t="inlineStr">
        <is>
          <t>Hospital A</t>
        </is>
      </c>
      <c r="B162" t="inlineStr">
        <is>
          <t>Produto C</t>
        </is>
      </c>
      <c r="C162" t="n">
        <v>49</v>
      </c>
      <c r="D162" t="n">
        <v>2081.21964446576</v>
      </c>
      <c r="E162" t="n">
        <v>101979.7625788223</v>
      </c>
      <c r="F162" s="2" t="n">
        <v>45536</v>
      </c>
    </row>
    <row r="163">
      <c r="A163" t="inlineStr">
        <is>
          <t>Hospital A</t>
        </is>
      </c>
      <c r="B163" t="inlineStr">
        <is>
          <t>Produto A</t>
        </is>
      </c>
      <c r="C163" t="n">
        <v>48</v>
      </c>
      <c r="D163" t="n">
        <v>2207.972451036858</v>
      </c>
      <c r="E163" t="n">
        <v>105982.6776497692</v>
      </c>
      <c r="F163" s="2" t="n">
        <v>45536</v>
      </c>
    </row>
    <row r="164">
      <c r="A164" t="inlineStr">
        <is>
          <t>Hospital A</t>
        </is>
      </c>
      <c r="B164" t="inlineStr">
        <is>
          <t>Produto B</t>
        </is>
      </c>
      <c r="C164" t="n">
        <v>34</v>
      </c>
      <c r="D164" t="n">
        <v>2483.093172933164</v>
      </c>
      <c r="E164" t="n">
        <v>84425.16787972758</v>
      </c>
      <c r="F164" s="2" t="n">
        <v>45536</v>
      </c>
    </row>
    <row r="165">
      <c r="A165" t="inlineStr">
        <is>
          <t>Laboratório C</t>
        </is>
      </c>
      <c r="B165" t="inlineStr">
        <is>
          <t>Produto B</t>
        </is>
      </c>
      <c r="C165" t="n">
        <v>42</v>
      </c>
      <c r="D165" t="n">
        <v>1904.796103265469</v>
      </c>
      <c r="E165" t="n">
        <v>80001.43633714969</v>
      </c>
      <c r="F165" s="2" t="n">
        <v>45536</v>
      </c>
    </row>
    <row r="166">
      <c r="A166" t="inlineStr">
        <is>
          <t>Laboratório C</t>
        </is>
      </c>
      <c r="B166" t="inlineStr">
        <is>
          <t>Produto B</t>
        </is>
      </c>
      <c r="C166" t="n">
        <v>12</v>
      </c>
      <c r="D166" t="n">
        <v>2210.275223443879</v>
      </c>
      <c r="E166" t="n">
        <v>26523.30268132655</v>
      </c>
      <c r="F166" s="2" t="n">
        <v>45536</v>
      </c>
    </row>
    <row r="167">
      <c r="A167" t="inlineStr">
        <is>
          <t>Hospital A</t>
        </is>
      </c>
      <c r="B167" t="inlineStr">
        <is>
          <t>Produto B</t>
        </is>
      </c>
      <c r="C167" t="n">
        <v>7</v>
      </c>
      <c r="D167" t="n">
        <v>2443.973977832312</v>
      </c>
      <c r="E167" t="n">
        <v>17107.81784482618</v>
      </c>
      <c r="F167" s="2" t="n">
        <v>45536</v>
      </c>
    </row>
    <row r="168">
      <c r="A168" t="inlineStr">
        <is>
          <t>Hospital D</t>
        </is>
      </c>
      <c r="B168" t="inlineStr">
        <is>
          <t>Produto C</t>
        </is>
      </c>
      <c r="C168" t="n">
        <v>29</v>
      </c>
      <c r="D168" t="n">
        <v>2416.61458836591</v>
      </c>
      <c r="E168" t="n">
        <v>70081.82306261139</v>
      </c>
      <c r="F168" s="2" t="n">
        <v>45536</v>
      </c>
    </row>
    <row r="169">
      <c r="A169" t="inlineStr">
        <is>
          <t>Laboratório C</t>
        </is>
      </c>
      <c r="B169" t="inlineStr">
        <is>
          <t>Produto A</t>
        </is>
      </c>
      <c r="C169" t="n">
        <v>38</v>
      </c>
      <c r="D169" t="n">
        <v>1211.62277316657</v>
      </c>
      <c r="E169" t="n">
        <v>46041.66538032966</v>
      </c>
      <c r="F169" s="2" t="n">
        <v>45536</v>
      </c>
    </row>
    <row r="170">
      <c r="A170" t="inlineStr">
        <is>
          <t>Hospital A</t>
        </is>
      </c>
      <c r="B170" t="inlineStr">
        <is>
          <t>Produto A</t>
        </is>
      </c>
      <c r="C170" t="n">
        <v>18</v>
      </c>
      <c r="D170" t="n">
        <v>1609.588462410283</v>
      </c>
      <c r="E170" t="n">
        <v>28972.5923233851</v>
      </c>
      <c r="F170" s="2" t="n">
        <v>45536</v>
      </c>
    </row>
    <row r="171">
      <c r="A171" t="inlineStr">
        <is>
          <t>Hospital A</t>
        </is>
      </c>
      <c r="B171" t="inlineStr">
        <is>
          <t>Produto C</t>
        </is>
      </c>
      <c r="C171" t="n">
        <v>10</v>
      </c>
      <c r="D171" t="n">
        <v>1485.985091660199</v>
      </c>
      <c r="E171" t="n">
        <v>14859.85091660199</v>
      </c>
      <c r="F171" s="2" t="n">
        <v>45536</v>
      </c>
    </row>
    <row r="172">
      <c r="A172" t="inlineStr">
        <is>
          <t>Hospital D</t>
        </is>
      </c>
      <c r="B172" t="inlineStr">
        <is>
          <t>Produto A</t>
        </is>
      </c>
      <c r="C172" t="n">
        <v>23</v>
      </c>
      <c r="D172" t="n">
        <v>1130.387522425524</v>
      </c>
      <c r="E172" t="n">
        <v>25998.91301578705</v>
      </c>
      <c r="F172" s="2" t="n">
        <v>45536</v>
      </c>
    </row>
    <row r="173">
      <c r="A173" t="inlineStr">
        <is>
          <t>Clínica B</t>
        </is>
      </c>
      <c r="B173" t="inlineStr">
        <is>
          <t>Produto B</t>
        </is>
      </c>
      <c r="C173" t="n">
        <v>12</v>
      </c>
      <c r="D173" t="n">
        <v>1949.861162366441</v>
      </c>
      <c r="E173" t="n">
        <v>23398.33394839729</v>
      </c>
      <c r="F173" s="2" t="n">
        <v>45536</v>
      </c>
    </row>
    <row r="174">
      <c r="A174" t="inlineStr">
        <is>
          <t>Laboratório C</t>
        </is>
      </c>
      <c r="B174" t="inlineStr">
        <is>
          <t>Produto A</t>
        </is>
      </c>
      <c r="C174" t="n">
        <v>41</v>
      </c>
      <c r="D174" t="n">
        <v>2103.856919794003</v>
      </c>
      <c r="E174" t="n">
        <v>86258.13371155411</v>
      </c>
      <c r="F174" s="2" t="n">
        <v>45536</v>
      </c>
    </row>
    <row r="175">
      <c r="A175" t="inlineStr">
        <is>
          <t>Hospital D</t>
        </is>
      </c>
      <c r="B175" t="inlineStr">
        <is>
          <t>Produto B</t>
        </is>
      </c>
      <c r="C175" t="n">
        <v>50</v>
      </c>
      <c r="D175" t="n">
        <v>2272.192143200326</v>
      </c>
      <c r="E175" t="n">
        <v>113609.6071600163</v>
      </c>
      <c r="F175" s="2" t="n">
        <v>45536</v>
      </c>
    </row>
    <row r="176">
      <c r="A176" t="inlineStr">
        <is>
          <t>Hospital A</t>
        </is>
      </c>
      <c r="B176" t="inlineStr">
        <is>
          <t>Produto C</t>
        </is>
      </c>
      <c r="C176" t="n">
        <v>7</v>
      </c>
      <c r="D176" t="n">
        <v>1184.165334494063</v>
      </c>
      <c r="E176" t="n">
        <v>8289.157341458442</v>
      </c>
      <c r="F176" s="2" t="n">
        <v>45536</v>
      </c>
    </row>
    <row r="177">
      <c r="A177" t="inlineStr">
        <is>
          <t>Hospital A</t>
        </is>
      </c>
      <c r="B177" t="inlineStr">
        <is>
          <t>Produto A</t>
        </is>
      </c>
      <c r="C177" t="n">
        <v>23</v>
      </c>
      <c r="D177" t="n">
        <v>2314.666113812941</v>
      </c>
      <c r="E177" t="n">
        <v>53237.32061769765</v>
      </c>
      <c r="F177" s="2" t="n">
        <v>45536</v>
      </c>
    </row>
    <row r="178">
      <c r="A178" t="inlineStr">
        <is>
          <t>Hospital D</t>
        </is>
      </c>
      <c r="B178" t="inlineStr">
        <is>
          <t>Produto C</t>
        </is>
      </c>
      <c r="C178" t="n">
        <v>18</v>
      </c>
      <c r="D178" t="n">
        <v>1964.38834542138</v>
      </c>
      <c r="E178" t="n">
        <v>35358.99021758484</v>
      </c>
      <c r="F178" s="2" t="n">
        <v>45536</v>
      </c>
    </row>
    <row r="179">
      <c r="A179" t="inlineStr">
        <is>
          <t>Laboratório C</t>
        </is>
      </c>
      <c r="B179" t="inlineStr">
        <is>
          <t>Produto A</t>
        </is>
      </c>
      <c r="C179" t="n">
        <v>14</v>
      </c>
      <c r="D179" t="n">
        <v>2055.919202707764</v>
      </c>
      <c r="E179" t="n">
        <v>28782.86883790869</v>
      </c>
      <c r="F179" s="2" t="n">
        <v>45536</v>
      </c>
    </row>
    <row r="180">
      <c r="A180" t="inlineStr">
        <is>
          <t>Clínica B</t>
        </is>
      </c>
      <c r="B180" t="inlineStr">
        <is>
          <t>Produto B</t>
        </is>
      </c>
      <c r="C180" t="n">
        <v>36</v>
      </c>
      <c r="D180" t="n">
        <v>2365.936005310456</v>
      </c>
      <c r="E180" t="n">
        <v>85173.69619117642</v>
      </c>
      <c r="F180" s="2" t="n">
        <v>45536</v>
      </c>
    </row>
    <row r="181">
      <c r="A181" t="inlineStr">
        <is>
          <t>Clínica B</t>
        </is>
      </c>
      <c r="B181" t="inlineStr">
        <is>
          <t>Produto C</t>
        </is>
      </c>
      <c r="C181" t="n">
        <v>59</v>
      </c>
      <c r="D181" t="n">
        <v>1937.141906564877</v>
      </c>
      <c r="E181" t="n">
        <v>114291.3724873277</v>
      </c>
      <c r="F181" s="2" t="n">
        <v>45536</v>
      </c>
    </row>
    <row r="182">
      <c r="A182" t="inlineStr">
        <is>
          <t>Hospital A</t>
        </is>
      </c>
      <c r="B182" t="inlineStr">
        <is>
          <t>Produto A</t>
        </is>
      </c>
      <c r="C182" t="n">
        <v>67</v>
      </c>
      <c r="D182" t="n">
        <v>1503.798785724753</v>
      </c>
      <c r="E182" t="n">
        <v>100754.5186435585</v>
      </c>
      <c r="F182" s="2" t="n">
        <v>45566</v>
      </c>
    </row>
    <row r="183">
      <c r="A183" t="inlineStr">
        <is>
          <t>Laboratório C</t>
        </is>
      </c>
      <c r="B183" t="inlineStr">
        <is>
          <t>Produto B</t>
        </is>
      </c>
      <c r="C183" t="n">
        <v>13</v>
      </c>
      <c r="D183" t="n">
        <v>2237.660997133989</v>
      </c>
      <c r="E183" t="n">
        <v>29089.59296274186</v>
      </c>
      <c r="F183" s="2" t="n">
        <v>45566</v>
      </c>
    </row>
    <row r="184">
      <c r="A184" t="inlineStr">
        <is>
          <t>Clínica B</t>
        </is>
      </c>
      <c r="B184" t="inlineStr">
        <is>
          <t>Produto C</t>
        </is>
      </c>
      <c r="C184" t="n">
        <v>14</v>
      </c>
      <c r="D184" t="n">
        <v>1544.588818292636</v>
      </c>
      <c r="E184" t="n">
        <v>21624.2434560969</v>
      </c>
      <c r="F184" s="2" t="n">
        <v>45566</v>
      </c>
    </row>
    <row r="185">
      <c r="A185" t="inlineStr">
        <is>
          <t>Laboratório C</t>
        </is>
      </c>
      <c r="B185" t="inlineStr">
        <is>
          <t>Produto C</t>
        </is>
      </c>
      <c r="C185" t="n">
        <v>42</v>
      </c>
      <c r="D185" t="n">
        <v>1051.342166230794</v>
      </c>
      <c r="E185" t="n">
        <v>44156.37098169335</v>
      </c>
      <c r="F185" s="2" t="n">
        <v>45566</v>
      </c>
    </row>
    <row r="186">
      <c r="A186" t="inlineStr">
        <is>
          <t>Laboratório C</t>
        </is>
      </c>
      <c r="B186" t="inlineStr">
        <is>
          <t>Produto A</t>
        </is>
      </c>
      <c r="C186" t="n">
        <v>11</v>
      </c>
      <c r="D186" t="n">
        <v>2245.981759847875</v>
      </c>
      <c r="E186" t="n">
        <v>24705.79935832662</v>
      </c>
      <c r="F186" s="2" t="n">
        <v>45566</v>
      </c>
    </row>
    <row r="187">
      <c r="A187" t="inlineStr">
        <is>
          <t>Hospital A</t>
        </is>
      </c>
      <c r="B187" t="inlineStr">
        <is>
          <t>Produto A</t>
        </is>
      </c>
      <c r="C187" t="n">
        <v>32</v>
      </c>
      <c r="D187" t="n">
        <v>1517.788217321913</v>
      </c>
      <c r="E187" t="n">
        <v>48569.22295430121</v>
      </c>
      <c r="F187" s="2" t="n">
        <v>45566</v>
      </c>
    </row>
    <row r="188">
      <c r="A188" t="inlineStr">
        <is>
          <t>Clínica B</t>
        </is>
      </c>
      <c r="B188" t="inlineStr">
        <is>
          <t>Produto A</t>
        </is>
      </c>
      <c r="C188" t="n">
        <v>34</v>
      </c>
      <c r="D188" t="n">
        <v>2160.751784802011</v>
      </c>
      <c r="E188" t="n">
        <v>73465.56068326838</v>
      </c>
      <c r="F188" s="2" t="n">
        <v>45566</v>
      </c>
    </row>
    <row r="189">
      <c r="A189" t="inlineStr">
        <is>
          <t>Hospital D</t>
        </is>
      </c>
      <c r="B189" t="inlineStr">
        <is>
          <t>Produto B</t>
        </is>
      </c>
      <c r="C189" t="n">
        <v>52</v>
      </c>
      <c r="D189" t="n">
        <v>1544.136841998918</v>
      </c>
      <c r="E189" t="n">
        <v>80295.11578394374</v>
      </c>
      <c r="F189" s="2" t="n">
        <v>45566</v>
      </c>
    </row>
    <row r="190">
      <c r="A190" t="inlineStr">
        <is>
          <t>Hospital A</t>
        </is>
      </c>
      <c r="B190" t="inlineStr">
        <is>
          <t>Produto A</t>
        </is>
      </c>
      <c r="C190" t="n">
        <v>34</v>
      </c>
      <c r="D190" t="n">
        <v>2291.602029962082</v>
      </c>
      <c r="E190" t="n">
        <v>77914.46901871078</v>
      </c>
      <c r="F190" s="2" t="n">
        <v>45566</v>
      </c>
    </row>
    <row r="191">
      <c r="A191" t="inlineStr">
        <is>
          <t>Clínica B</t>
        </is>
      </c>
      <c r="B191" t="inlineStr">
        <is>
          <t>Produto C</t>
        </is>
      </c>
      <c r="C191" t="n">
        <v>22</v>
      </c>
      <c r="D191" t="n">
        <v>1329.265787621438</v>
      </c>
      <c r="E191" t="n">
        <v>29243.84732767164</v>
      </c>
      <c r="F191" s="2" t="n">
        <v>45566</v>
      </c>
    </row>
    <row r="192">
      <c r="A192" t="inlineStr">
        <is>
          <t>Clínica B</t>
        </is>
      </c>
      <c r="B192" t="inlineStr">
        <is>
          <t>Produto C</t>
        </is>
      </c>
      <c r="C192" t="n">
        <v>7</v>
      </c>
      <c r="D192" t="n">
        <v>2461.820897798305</v>
      </c>
      <c r="E192" t="n">
        <v>17232.74628458813</v>
      </c>
      <c r="F192" s="2" t="n">
        <v>45566</v>
      </c>
    </row>
    <row r="193">
      <c r="A193" t="inlineStr">
        <is>
          <t>Clínica B</t>
        </is>
      </c>
      <c r="B193" t="inlineStr">
        <is>
          <t>Produto A</t>
        </is>
      </c>
      <c r="C193" t="n">
        <v>42</v>
      </c>
      <c r="D193" t="n">
        <v>2169.638162182046</v>
      </c>
      <c r="E193" t="n">
        <v>91124.80281164593</v>
      </c>
      <c r="F193" s="2" t="n">
        <v>45566</v>
      </c>
    </row>
    <row r="194">
      <c r="A194" t="inlineStr">
        <is>
          <t>Clínica B</t>
        </is>
      </c>
      <c r="B194" t="inlineStr">
        <is>
          <t>Produto A</t>
        </is>
      </c>
      <c r="C194" t="n">
        <v>25</v>
      </c>
      <c r="D194" t="n">
        <v>1171.356888880595</v>
      </c>
      <c r="E194" t="n">
        <v>29283.92222201488</v>
      </c>
      <c r="F194" s="2" t="n">
        <v>45566</v>
      </c>
    </row>
    <row r="195">
      <c r="A195" t="inlineStr">
        <is>
          <t>Clínica B</t>
        </is>
      </c>
      <c r="B195" t="inlineStr">
        <is>
          <t>Produto C</t>
        </is>
      </c>
      <c r="C195" t="n">
        <v>59</v>
      </c>
      <c r="D195" t="n">
        <v>1848.664929949841</v>
      </c>
      <c r="E195" t="n">
        <v>109071.2308670406</v>
      </c>
      <c r="F195" s="2" t="n">
        <v>45566</v>
      </c>
    </row>
    <row r="196">
      <c r="A196" t="inlineStr">
        <is>
          <t>Laboratório C</t>
        </is>
      </c>
      <c r="B196" t="inlineStr">
        <is>
          <t>Produto B</t>
        </is>
      </c>
      <c r="C196" t="n">
        <v>57</v>
      </c>
      <c r="D196" t="n">
        <v>2478.050968362602</v>
      </c>
      <c r="E196" t="n">
        <v>141248.9051966683</v>
      </c>
      <c r="F196" s="2" t="n">
        <v>45566</v>
      </c>
    </row>
    <row r="197">
      <c r="A197" t="inlineStr">
        <is>
          <t>Hospital A</t>
        </is>
      </c>
      <c r="B197" t="inlineStr">
        <is>
          <t>Produto A</t>
        </is>
      </c>
      <c r="C197" t="n">
        <v>21</v>
      </c>
      <c r="D197" t="n">
        <v>1706.598179040722</v>
      </c>
      <c r="E197" t="n">
        <v>35838.56175985516</v>
      </c>
      <c r="F197" s="2" t="n">
        <v>45566</v>
      </c>
    </row>
    <row r="198">
      <c r="A198" t="inlineStr">
        <is>
          <t>Laboratório C</t>
        </is>
      </c>
      <c r="B198" t="inlineStr">
        <is>
          <t>Produto A</t>
        </is>
      </c>
      <c r="C198" t="n">
        <v>56</v>
      </c>
      <c r="D198" t="n">
        <v>1273.160708232375</v>
      </c>
      <c r="E198" t="n">
        <v>71296.999661013</v>
      </c>
      <c r="F198" s="2" t="n">
        <v>45566</v>
      </c>
    </row>
    <row r="199">
      <c r="A199" t="inlineStr">
        <is>
          <t>Hospital D</t>
        </is>
      </c>
      <c r="B199" t="inlineStr">
        <is>
          <t>Produto C</t>
        </is>
      </c>
      <c r="C199" t="n">
        <v>24</v>
      </c>
      <c r="D199" t="n">
        <v>1727.167550725519</v>
      </c>
      <c r="E199" t="n">
        <v>41452.02121741246</v>
      </c>
      <c r="F199" s="2" t="n">
        <v>45566</v>
      </c>
    </row>
    <row r="200">
      <c r="A200" t="inlineStr">
        <is>
          <t>Clínica B</t>
        </is>
      </c>
      <c r="B200" t="inlineStr">
        <is>
          <t>Produto A</t>
        </is>
      </c>
      <c r="C200" t="n">
        <v>66</v>
      </c>
      <c r="D200" t="n">
        <v>1768.686483822883</v>
      </c>
      <c r="E200" t="n">
        <v>116733.3079323103</v>
      </c>
      <c r="F200" s="2" t="n">
        <v>45566</v>
      </c>
    </row>
    <row r="201">
      <c r="A201" t="inlineStr">
        <is>
          <t>Hospital A</t>
        </is>
      </c>
      <c r="B201" t="inlineStr">
        <is>
          <t>Produto B</t>
        </is>
      </c>
      <c r="C201" t="n">
        <v>10</v>
      </c>
      <c r="D201" t="n">
        <v>2112.530416342998</v>
      </c>
      <c r="E201" t="n">
        <v>21125.30416342998</v>
      </c>
      <c r="F201" s="2" t="n">
        <v>45566</v>
      </c>
    </row>
    <row r="202">
      <c r="A202" t="inlineStr">
        <is>
          <t>Clínica B</t>
        </is>
      </c>
      <c r="B202" t="inlineStr">
        <is>
          <t>Produto C</t>
        </is>
      </c>
      <c r="C202" t="n">
        <v>63</v>
      </c>
      <c r="D202" t="n">
        <v>2048.268779741356</v>
      </c>
      <c r="E202" t="n">
        <v>129040.9331237054</v>
      </c>
      <c r="F202" s="2" t="n">
        <v>45597</v>
      </c>
    </row>
    <row r="203">
      <c r="A203" t="inlineStr">
        <is>
          <t>Hospital A</t>
        </is>
      </c>
      <c r="B203" t="inlineStr">
        <is>
          <t>Produto A</t>
        </is>
      </c>
      <c r="C203" t="n">
        <v>17</v>
      </c>
      <c r="D203" t="n">
        <v>1603.825065395471</v>
      </c>
      <c r="E203" t="n">
        <v>27265.02611172301</v>
      </c>
      <c r="F203" s="2" t="n">
        <v>45597</v>
      </c>
    </row>
    <row r="204">
      <c r="A204" t="inlineStr">
        <is>
          <t>Laboratório C</t>
        </is>
      </c>
      <c r="B204" t="inlineStr">
        <is>
          <t>Produto C</t>
        </is>
      </c>
      <c r="C204" t="n">
        <v>24</v>
      </c>
      <c r="D204" t="n">
        <v>1327.03466124113</v>
      </c>
      <c r="E204" t="n">
        <v>31848.83186978712</v>
      </c>
      <c r="F204" s="2" t="n">
        <v>45597</v>
      </c>
    </row>
    <row r="205">
      <c r="A205" t="inlineStr">
        <is>
          <t>Hospital A</t>
        </is>
      </c>
      <c r="B205" t="inlineStr">
        <is>
          <t>Produto A</t>
        </is>
      </c>
      <c r="C205" t="n">
        <v>15</v>
      </c>
      <c r="D205" t="n">
        <v>1967.581251653994</v>
      </c>
      <c r="E205" t="n">
        <v>29513.71877480991</v>
      </c>
      <c r="F205" s="2" t="n">
        <v>45597</v>
      </c>
    </row>
    <row r="206">
      <c r="A206" t="inlineStr">
        <is>
          <t>Hospital D</t>
        </is>
      </c>
      <c r="B206" t="inlineStr">
        <is>
          <t>Produto A</t>
        </is>
      </c>
      <c r="C206" t="n">
        <v>46</v>
      </c>
      <c r="D206" t="n">
        <v>1632.555901829923</v>
      </c>
      <c r="E206" t="n">
        <v>75097.57148417646</v>
      </c>
      <c r="F206" s="2" t="n">
        <v>45597</v>
      </c>
    </row>
    <row r="207">
      <c r="A207" t="inlineStr">
        <is>
          <t>Hospital D</t>
        </is>
      </c>
      <c r="B207" t="inlineStr">
        <is>
          <t>Produto A</t>
        </is>
      </c>
      <c r="C207" t="n">
        <v>24</v>
      </c>
      <c r="D207" t="n">
        <v>1198.414316687996</v>
      </c>
      <c r="E207" t="n">
        <v>28761.94360051191</v>
      </c>
      <c r="F207" s="2" t="n">
        <v>45597</v>
      </c>
    </row>
    <row r="208">
      <c r="A208" t="inlineStr">
        <is>
          <t>Hospital A</t>
        </is>
      </c>
      <c r="B208" t="inlineStr">
        <is>
          <t>Produto B</t>
        </is>
      </c>
      <c r="C208" t="n">
        <v>82</v>
      </c>
      <c r="D208" t="n">
        <v>2350.858451854579</v>
      </c>
      <c r="E208" t="n">
        <v>192770.3930520755</v>
      </c>
      <c r="F208" s="2" t="n">
        <v>45597</v>
      </c>
    </row>
    <row r="209">
      <c r="A209" t="inlineStr">
        <is>
          <t>Hospital A</t>
        </is>
      </c>
      <c r="B209" t="inlineStr">
        <is>
          <t>Produto B</t>
        </is>
      </c>
      <c r="C209" t="n">
        <v>10</v>
      </c>
      <c r="D209" t="n">
        <v>2036.832786414481</v>
      </c>
      <c r="E209" t="n">
        <v>20368.32786414481</v>
      </c>
      <c r="F209" s="2" t="n">
        <v>45597</v>
      </c>
    </row>
    <row r="210">
      <c r="A210" t="inlineStr">
        <is>
          <t>Hospital A</t>
        </is>
      </c>
      <c r="B210" t="inlineStr">
        <is>
          <t>Produto C</t>
        </is>
      </c>
      <c r="C210" t="n">
        <v>29</v>
      </c>
      <c r="D210" t="n">
        <v>2024.775784668222</v>
      </c>
      <c r="E210" t="n">
        <v>58718.49775537844</v>
      </c>
      <c r="F210" s="2" t="n">
        <v>45597</v>
      </c>
    </row>
    <row r="211">
      <c r="A211" t="inlineStr">
        <is>
          <t>Hospital A</t>
        </is>
      </c>
      <c r="B211" t="inlineStr">
        <is>
          <t>Produto A</t>
        </is>
      </c>
      <c r="C211" t="n">
        <v>75</v>
      </c>
      <c r="D211" t="n">
        <v>2233.875813867511</v>
      </c>
      <c r="E211" t="n">
        <v>167540.6860400633</v>
      </c>
      <c r="F211" s="2" t="n">
        <v>45597</v>
      </c>
    </row>
    <row r="212">
      <c r="A212" t="inlineStr">
        <is>
          <t>Hospital D</t>
        </is>
      </c>
      <c r="B212" t="inlineStr">
        <is>
          <t>Produto A</t>
        </is>
      </c>
      <c r="C212" t="n">
        <v>10</v>
      </c>
      <c r="D212" t="n">
        <v>1794.492517982622</v>
      </c>
      <c r="E212" t="n">
        <v>17944.92517982622</v>
      </c>
      <c r="F212" s="2" t="n">
        <v>45597</v>
      </c>
    </row>
    <row r="213">
      <c r="A213" t="inlineStr">
        <is>
          <t>Clínica B</t>
        </is>
      </c>
      <c r="B213" t="inlineStr">
        <is>
          <t>Produto B</t>
        </is>
      </c>
      <c r="C213" t="n">
        <v>41</v>
      </c>
      <c r="D213" t="n">
        <v>2222.581642603685</v>
      </c>
      <c r="E213" t="n">
        <v>91125.84734675108</v>
      </c>
      <c r="F213" s="2" t="n">
        <v>45597</v>
      </c>
    </row>
    <row r="214">
      <c r="A214" t="inlineStr">
        <is>
          <t>Hospital A</t>
        </is>
      </c>
      <c r="B214" t="inlineStr">
        <is>
          <t>Produto A</t>
        </is>
      </c>
      <c r="C214" t="n">
        <v>9</v>
      </c>
      <c r="D214" t="n">
        <v>1747.136130266509</v>
      </c>
      <c r="E214" t="n">
        <v>15724.22517239858</v>
      </c>
      <c r="F214" s="2" t="n">
        <v>45597</v>
      </c>
    </row>
    <row r="215">
      <c r="A215" t="inlineStr">
        <is>
          <t>Hospital A</t>
        </is>
      </c>
      <c r="B215" t="inlineStr">
        <is>
          <t>Produto B</t>
        </is>
      </c>
      <c r="C215" t="n">
        <v>70</v>
      </c>
      <c r="D215" t="n">
        <v>1100.763099873565</v>
      </c>
      <c r="E215" t="n">
        <v>77053.41699114954</v>
      </c>
      <c r="F215" s="2" t="n">
        <v>45597</v>
      </c>
    </row>
    <row r="216">
      <c r="A216" t="inlineStr">
        <is>
          <t>Hospital D</t>
        </is>
      </c>
      <c r="B216" t="inlineStr">
        <is>
          <t>Produto A</t>
        </is>
      </c>
      <c r="C216" t="n">
        <v>22</v>
      </c>
      <c r="D216" t="n">
        <v>1607.872132041533</v>
      </c>
      <c r="E216" t="n">
        <v>35373.18690491372</v>
      </c>
      <c r="F216" s="2" t="n">
        <v>45597</v>
      </c>
    </row>
    <row r="217">
      <c r="A217" t="inlineStr">
        <is>
          <t>Hospital D</t>
        </is>
      </c>
      <c r="B217" t="inlineStr">
        <is>
          <t>Produto C</t>
        </is>
      </c>
      <c r="C217" t="n">
        <v>36</v>
      </c>
      <c r="D217" t="n">
        <v>1746.197340969836</v>
      </c>
      <c r="E217" t="n">
        <v>62863.1042749141</v>
      </c>
      <c r="F217" s="2" t="n">
        <v>45597</v>
      </c>
    </row>
    <row r="218">
      <c r="A218" t="inlineStr">
        <is>
          <t>Laboratório C</t>
        </is>
      </c>
      <c r="B218" t="inlineStr">
        <is>
          <t>Produto A</t>
        </is>
      </c>
      <c r="C218" t="n">
        <v>22</v>
      </c>
      <c r="D218" t="n">
        <v>2080.303872448444</v>
      </c>
      <c r="E218" t="n">
        <v>45766.68519386577</v>
      </c>
      <c r="F218" s="2" t="n">
        <v>45597</v>
      </c>
    </row>
    <row r="219">
      <c r="A219" t="inlineStr">
        <is>
          <t>Hospital A</t>
        </is>
      </c>
      <c r="B219" t="inlineStr">
        <is>
          <t>Produto A</t>
        </is>
      </c>
      <c r="C219" t="n">
        <v>26</v>
      </c>
      <c r="D219" t="n">
        <v>1159.868095193011</v>
      </c>
      <c r="E219" t="n">
        <v>30156.57047501828</v>
      </c>
      <c r="F219" s="2" t="n">
        <v>45597</v>
      </c>
    </row>
    <row r="220">
      <c r="A220" t="inlineStr">
        <is>
          <t>Laboratório C</t>
        </is>
      </c>
      <c r="B220" t="inlineStr">
        <is>
          <t>Produto B</t>
        </is>
      </c>
      <c r="C220" t="n">
        <v>32</v>
      </c>
      <c r="D220" t="n">
        <v>1210.027807990673</v>
      </c>
      <c r="E220" t="n">
        <v>38720.88985570153</v>
      </c>
      <c r="F220" s="2" t="n">
        <v>45597</v>
      </c>
    </row>
    <row r="221">
      <c r="A221" t="inlineStr">
        <is>
          <t>Hospital D</t>
        </is>
      </c>
      <c r="B221" t="inlineStr">
        <is>
          <t>Produto A</t>
        </is>
      </c>
      <c r="C221" t="n">
        <v>48</v>
      </c>
      <c r="D221" t="n">
        <v>1395.525703951925</v>
      </c>
      <c r="E221" t="n">
        <v>66985.2337896924</v>
      </c>
      <c r="F221" s="2" t="n">
        <v>45597</v>
      </c>
    </row>
    <row r="222">
      <c r="A222" t="inlineStr">
        <is>
          <t>Hospital D</t>
        </is>
      </c>
      <c r="B222" t="inlineStr">
        <is>
          <t>Produto A</t>
        </is>
      </c>
      <c r="C222" t="n">
        <v>55</v>
      </c>
      <c r="D222" t="n">
        <v>1399.747590056323</v>
      </c>
      <c r="E222" t="n">
        <v>76986.11745309776</v>
      </c>
      <c r="F222" s="2" t="n">
        <v>45627</v>
      </c>
    </row>
    <row r="223">
      <c r="A223" t="inlineStr">
        <is>
          <t>Clínica B</t>
        </is>
      </c>
      <c r="B223" t="inlineStr">
        <is>
          <t>Produto B</t>
        </is>
      </c>
      <c r="C223" t="n">
        <v>51</v>
      </c>
      <c r="D223" t="n">
        <v>2098.276867688593</v>
      </c>
      <c r="E223" t="n">
        <v>107012.1202521182</v>
      </c>
      <c r="F223" s="2" t="n">
        <v>45627</v>
      </c>
    </row>
    <row r="224">
      <c r="A224" t="inlineStr">
        <is>
          <t>Hospital A</t>
        </is>
      </c>
      <c r="B224" t="inlineStr">
        <is>
          <t>Produto C</t>
        </is>
      </c>
      <c r="C224" t="n">
        <v>44</v>
      </c>
      <c r="D224" t="n">
        <v>1376.095990842397</v>
      </c>
      <c r="E224" t="n">
        <v>60548.22359706547</v>
      </c>
      <c r="F224" s="2" t="n">
        <v>45627</v>
      </c>
    </row>
    <row r="225">
      <c r="A225" t="inlineStr">
        <is>
          <t>Laboratório C</t>
        </is>
      </c>
      <c r="B225" t="inlineStr">
        <is>
          <t>Produto C</t>
        </is>
      </c>
      <c r="C225" t="n">
        <v>46</v>
      </c>
      <c r="D225" t="n">
        <v>1949.647095036171</v>
      </c>
      <c r="E225" t="n">
        <v>89683.76637166386</v>
      </c>
      <c r="F225" s="2" t="n">
        <v>45627</v>
      </c>
    </row>
    <row r="226">
      <c r="A226" t="inlineStr">
        <is>
          <t>Hospital D</t>
        </is>
      </c>
      <c r="B226" t="inlineStr">
        <is>
          <t>Produto B</t>
        </is>
      </c>
      <c r="C226" t="n">
        <v>12</v>
      </c>
      <c r="D226" t="n">
        <v>1741.410775207407</v>
      </c>
      <c r="E226" t="n">
        <v>20896.92930248888</v>
      </c>
      <c r="F226" s="2" t="n">
        <v>45627</v>
      </c>
    </row>
    <row r="227">
      <c r="A227" t="inlineStr">
        <is>
          <t>Hospital D</t>
        </is>
      </c>
      <c r="B227" t="inlineStr">
        <is>
          <t>Produto B</t>
        </is>
      </c>
      <c r="C227" t="n">
        <v>62</v>
      </c>
      <c r="D227" t="n">
        <v>1859.941567269101</v>
      </c>
      <c r="E227" t="n">
        <v>115316.3771706843</v>
      </c>
      <c r="F227" s="2" t="n">
        <v>45627</v>
      </c>
    </row>
    <row r="228">
      <c r="A228" t="inlineStr">
        <is>
          <t>Laboratório C</t>
        </is>
      </c>
      <c r="B228" t="inlineStr">
        <is>
          <t>Produto B</t>
        </is>
      </c>
      <c r="C228" t="n">
        <v>23</v>
      </c>
      <c r="D228" t="n">
        <v>2257.160444767444</v>
      </c>
      <c r="E228" t="n">
        <v>51914.69022965121</v>
      </c>
      <c r="F228" s="2" t="n">
        <v>45627</v>
      </c>
    </row>
    <row r="229">
      <c r="A229" t="inlineStr">
        <is>
          <t>Clínica B</t>
        </is>
      </c>
      <c r="B229" t="inlineStr">
        <is>
          <t>Produto B</t>
        </is>
      </c>
      <c r="C229" t="n">
        <v>20</v>
      </c>
      <c r="D229" t="n">
        <v>1606.572252323536</v>
      </c>
      <c r="E229" t="n">
        <v>32131.44504647072</v>
      </c>
      <c r="F229" s="2" t="n">
        <v>45627</v>
      </c>
    </row>
    <row r="230">
      <c r="A230" t="inlineStr">
        <is>
          <t>Hospital D</t>
        </is>
      </c>
      <c r="B230" t="inlineStr">
        <is>
          <t>Produto B</t>
        </is>
      </c>
      <c r="C230" t="n">
        <v>17</v>
      </c>
      <c r="D230" t="n">
        <v>2156.367065596406</v>
      </c>
      <c r="E230" t="n">
        <v>36658.24011513891</v>
      </c>
      <c r="F230" s="2" t="n">
        <v>45627</v>
      </c>
    </row>
    <row r="231">
      <c r="A231" t="inlineStr">
        <is>
          <t>Hospital A</t>
        </is>
      </c>
      <c r="B231" t="inlineStr">
        <is>
          <t>Produto C</t>
        </is>
      </c>
      <c r="C231" t="n">
        <v>49</v>
      </c>
      <c r="D231" t="n">
        <v>1633.054089326031</v>
      </c>
      <c r="E231" t="n">
        <v>80019.65037697552</v>
      </c>
      <c r="F231" s="2" t="n">
        <v>45627</v>
      </c>
    </row>
    <row r="232">
      <c r="A232" t="inlineStr">
        <is>
          <t>Hospital D</t>
        </is>
      </c>
      <c r="B232" t="inlineStr">
        <is>
          <t>Produto C</t>
        </is>
      </c>
      <c r="C232" t="n">
        <v>21</v>
      </c>
      <c r="D232" t="n">
        <v>1530.807064841874</v>
      </c>
      <c r="E232" t="n">
        <v>32146.94836167936</v>
      </c>
      <c r="F232" s="2" t="n">
        <v>45627</v>
      </c>
    </row>
    <row r="233">
      <c r="A233" t="inlineStr">
        <is>
          <t>Hospital A</t>
        </is>
      </c>
      <c r="B233" t="inlineStr">
        <is>
          <t>Produto B</t>
        </is>
      </c>
      <c r="C233" t="n">
        <v>51</v>
      </c>
      <c r="D233" t="n">
        <v>2437.940765969831</v>
      </c>
      <c r="E233" t="n">
        <v>124334.9790644614</v>
      </c>
      <c r="F233" s="2" t="n">
        <v>45627</v>
      </c>
    </row>
    <row r="234">
      <c r="A234" t="inlineStr">
        <is>
          <t>Laboratório C</t>
        </is>
      </c>
      <c r="B234" t="inlineStr">
        <is>
          <t>Produto A</t>
        </is>
      </c>
      <c r="C234" t="n">
        <v>51</v>
      </c>
      <c r="D234" t="n">
        <v>1276.556381018445</v>
      </c>
      <c r="E234" t="n">
        <v>65104.3754319407</v>
      </c>
      <c r="F234" s="2" t="n">
        <v>45627</v>
      </c>
    </row>
    <row r="235">
      <c r="A235" t="inlineStr">
        <is>
          <t>Hospital A</t>
        </is>
      </c>
      <c r="B235" t="inlineStr">
        <is>
          <t>Produto B</t>
        </is>
      </c>
      <c r="C235" t="n">
        <v>7</v>
      </c>
      <c r="D235" t="n">
        <v>1135.505440866412</v>
      </c>
      <c r="E235" t="n">
        <v>7948.538086064885</v>
      </c>
      <c r="F235" s="2" t="n">
        <v>45627</v>
      </c>
    </row>
    <row r="236">
      <c r="A236" t="inlineStr">
        <is>
          <t>Laboratório C</t>
        </is>
      </c>
      <c r="B236" t="inlineStr">
        <is>
          <t>Produto A</t>
        </is>
      </c>
      <c r="C236" t="n">
        <v>57</v>
      </c>
      <c r="D236" t="n">
        <v>2156.478888303218</v>
      </c>
      <c r="E236" t="n">
        <v>122919.2966332834</v>
      </c>
      <c r="F236" s="2" t="n">
        <v>45627</v>
      </c>
    </row>
    <row r="237">
      <c r="A237" t="inlineStr">
        <is>
          <t>Hospital A</t>
        </is>
      </c>
      <c r="B237" t="inlineStr">
        <is>
          <t>Produto B</t>
        </is>
      </c>
      <c r="C237" t="n">
        <v>34</v>
      </c>
      <c r="D237" t="n">
        <v>1102.374558031137</v>
      </c>
      <c r="E237" t="n">
        <v>37480.73497305866</v>
      </c>
      <c r="F237" s="2" t="n">
        <v>45627</v>
      </c>
    </row>
    <row r="238">
      <c r="A238" t="inlineStr">
        <is>
          <t>Laboratório C</t>
        </is>
      </c>
      <c r="B238" t="inlineStr">
        <is>
          <t>Produto B</t>
        </is>
      </c>
      <c r="C238" t="n">
        <v>43</v>
      </c>
      <c r="D238" t="n">
        <v>2255.618486054544</v>
      </c>
      <c r="E238" t="n">
        <v>96991.5949003454</v>
      </c>
      <c r="F238" s="2" t="n">
        <v>45627</v>
      </c>
    </row>
    <row r="239">
      <c r="A239" t="inlineStr">
        <is>
          <t>Hospital A</t>
        </is>
      </c>
      <c r="B239" t="inlineStr">
        <is>
          <t>Produto C</t>
        </is>
      </c>
      <c r="C239" t="n">
        <v>16</v>
      </c>
      <c r="D239" t="n">
        <v>1655.790094535865</v>
      </c>
      <c r="E239" t="n">
        <v>26492.64151257384</v>
      </c>
      <c r="F239" s="2" t="n">
        <v>45627</v>
      </c>
    </row>
    <row r="240">
      <c r="A240" t="inlineStr">
        <is>
          <t>Clínica B</t>
        </is>
      </c>
      <c r="B240" t="inlineStr">
        <is>
          <t>Produto A</t>
        </is>
      </c>
      <c r="C240" t="n">
        <v>20</v>
      </c>
      <c r="D240" t="n">
        <v>2373.270515937871</v>
      </c>
      <c r="E240" t="n">
        <v>47465.41031875742</v>
      </c>
      <c r="F240" s="2" t="n">
        <v>45627</v>
      </c>
    </row>
    <row r="241">
      <c r="A241" t="inlineStr">
        <is>
          <t>Hospital A</t>
        </is>
      </c>
      <c r="B241" t="inlineStr">
        <is>
          <t>Produto A</t>
        </is>
      </c>
      <c r="C241" t="n">
        <v>59</v>
      </c>
      <c r="D241" t="n">
        <v>2082.299291682858</v>
      </c>
      <c r="E241" t="n">
        <v>122855.6582092886</v>
      </c>
      <c r="F241" s="2" t="n">
        <v>45627</v>
      </c>
    </row>
    <row r="242">
      <c r="A242" t="inlineStr">
        <is>
          <t>Hospital D</t>
        </is>
      </c>
      <c r="B242" t="inlineStr">
        <is>
          <t>Produto A</t>
        </is>
      </c>
      <c r="C242" t="n">
        <v>59</v>
      </c>
      <c r="D242" t="n">
        <v>1399.747590056323</v>
      </c>
      <c r="E242" t="n">
        <v>82585.10781332305</v>
      </c>
      <c r="F242" s="2" t="n">
        <v>45658</v>
      </c>
    </row>
    <row r="243">
      <c r="A243" t="inlineStr">
        <is>
          <t>Clínica B</t>
        </is>
      </c>
      <c r="B243" t="inlineStr">
        <is>
          <t>Produto B</t>
        </is>
      </c>
      <c r="C243" t="n">
        <v>55</v>
      </c>
      <c r="D243" t="n">
        <v>2098.276867688593</v>
      </c>
      <c r="E243" t="n">
        <v>115405.2277228726</v>
      </c>
      <c r="F243" s="2" t="n">
        <v>45658</v>
      </c>
    </row>
    <row r="244">
      <c r="A244" t="inlineStr">
        <is>
          <t>Hospital A</t>
        </is>
      </c>
      <c r="B244" t="inlineStr">
        <is>
          <t>Produto C</t>
        </is>
      </c>
      <c r="C244" t="n">
        <v>48</v>
      </c>
      <c r="D244" t="n">
        <v>1376.095990842397</v>
      </c>
      <c r="E244" t="n">
        <v>66052.60756043505</v>
      </c>
      <c r="F244" s="2" t="n">
        <v>45658</v>
      </c>
    </row>
    <row r="245">
      <c r="A245" t="inlineStr">
        <is>
          <t>Laboratório C</t>
        </is>
      </c>
      <c r="B245" t="inlineStr">
        <is>
          <t>Produto C</t>
        </is>
      </c>
      <c r="C245" t="n">
        <v>49</v>
      </c>
      <c r="D245" t="n">
        <v>1949.647095036171</v>
      </c>
      <c r="E245" t="n">
        <v>95532.70765677239</v>
      </c>
      <c r="F245" s="2" t="n">
        <v>45658</v>
      </c>
    </row>
    <row r="246">
      <c r="A246" t="inlineStr">
        <is>
          <t>Hospital D</t>
        </is>
      </c>
      <c r="B246" t="inlineStr">
        <is>
          <t>Produto B</t>
        </is>
      </c>
      <c r="C246" t="n">
        <v>13</v>
      </c>
      <c r="D246" t="n">
        <v>1741.410775207407</v>
      </c>
      <c r="E246" t="n">
        <v>22638.34007769629</v>
      </c>
      <c r="F246" s="2" t="n">
        <v>45658</v>
      </c>
    </row>
    <row r="247">
      <c r="A247" t="inlineStr">
        <is>
          <t>Hospital D</t>
        </is>
      </c>
      <c r="B247" t="inlineStr">
        <is>
          <t>Produto B</t>
        </is>
      </c>
      <c r="C247" t="n">
        <v>67</v>
      </c>
      <c r="D247" t="n">
        <v>1859.941567269101</v>
      </c>
      <c r="E247" t="n">
        <v>124616.0850070298</v>
      </c>
      <c r="F247" s="2" t="n">
        <v>45658</v>
      </c>
    </row>
    <row r="248">
      <c r="A248" t="inlineStr">
        <is>
          <t>Laboratório C</t>
        </is>
      </c>
      <c r="B248" t="inlineStr">
        <is>
          <t>Produto B</t>
        </is>
      </c>
      <c r="C248" t="n">
        <v>25</v>
      </c>
      <c r="D248" t="n">
        <v>2257.160444767444</v>
      </c>
      <c r="E248" t="n">
        <v>56429.0111191861</v>
      </c>
      <c r="F248" s="2" t="n">
        <v>45658</v>
      </c>
    </row>
    <row r="249">
      <c r="A249" t="inlineStr">
        <is>
          <t>Clínica B</t>
        </is>
      </c>
      <c r="B249" t="inlineStr">
        <is>
          <t>Produto B</t>
        </is>
      </c>
      <c r="C249" t="n">
        <v>21</v>
      </c>
      <c r="D249" t="n">
        <v>1606.572252323536</v>
      </c>
      <c r="E249" t="n">
        <v>33738.01729879426</v>
      </c>
      <c r="F249" s="2" t="n">
        <v>45658</v>
      </c>
    </row>
    <row r="250">
      <c r="A250" t="inlineStr">
        <is>
          <t>Hospital D</t>
        </is>
      </c>
      <c r="B250" t="inlineStr">
        <is>
          <t>Produto B</t>
        </is>
      </c>
      <c r="C250" t="n">
        <v>18</v>
      </c>
      <c r="D250" t="n">
        <v>2156.367065596406</v>
      </c>
      <c r="E250" t="n">
        <v>38814.60718073531</v>
      </c>
      <c r="F250" s="2" t="n">
        <v>45658</v>
      </c>
    </row>
    <row r="251">
      <c r="A251" t="inlineStr">
        <is>
          <t>Hospital A</t>
        </is>
      </c>
      <c r="B251" t="inlineStr">
        <is>
          <t>Produto C</t>
        </is>
      </c>
      <c r="C251" t="n">
        <v>53</v>
      </c>
      <c r="D251" t="n">
        <v>1633.054089326031</v>
      </c>
      <c r="E251" t="n">
        <v>86551.86673427965</v>
      </c>
      <c r="F251" s="2" t="n">
        <v>45658</v>
      </c>
    </row>
    <row r="252">
      <c r="A252" t="inlineStr">
        <is>
          <t>Hospital D</t>
        </is>
      </c>
      <c r="B252" t="inlineStr">
        <is>
          <t>Produto C</t>
        </is>
      </c>
      <c r="C252" t="n">
        <v>22</v>
      </c>
      <c r="D252" t="n">
        <v>1530.807064841874</v>
      </c>
      <c r="E252" t="n">
        <v>33677.75542652123</v>
      </c>
      <c r="F252" s="2" t="n">
        <v>45658</v>
      </c>
    </row>
    <row r="253">
      <c r="A253" t="inlineStr">
        <is>
          <t>Hospital A</t>
        </is>
      </c>
      <c r="B253" t="inlineStr">
        <is>
          <t>Produto B</t>
        </is>
      </c>
      <c r="C253" t="n">
        <v>55</v>
      </c>
      <c r="D253" t="n">
        <v>2437.940765969831</v>
      </c>
      <c r="E253" t="n">
        <v>134086.7421283407</v>
      </c>
      <c r="F253" s="2" t="n">
        <v>45658</v>
      </c>
    </row>
    <row r="254">
      <c r="A254" t="inlineStr">
        <is>
          <t>Laboratório C</t>
        </is>
      </c>
      <c r="B254" t="inlineStr">
        <is>
          <t>Produto A</t>
        </is>
      </c>
      <c r="C254" t="n">
        <v>55</v>
      </c>
      <c r="D254" t="n">
        <v>1276.556381018445</v>
      </c>
      <c r="E254" t="n">
        <v>70210.60095601447</v>
      </c>
      <c r="F254" s="2" t="n">
        <v>45658</v>
      </c>
    </row>
    <row r="255">
      <c r="A255" t="inlineStr">
        <is>
          <t>Hospital A</t>
        </is>
      </c>
      <c r="B255" t="inlineStr">
        <is>
          <t>Produto B</t>
        </is>
      </c>
      <c r="C255" t="n">
        <v>7</v>
      </c>
      <c r="D255" t="n">
        <v>1135.505440866412</v>
      </c>
      <c r="E255" t="n">
        <v>7948.538086064885</v>
      </c>
      <c r="F255" s="2" t="n">
        <v>45658</v>
      </c>
    </row>
    <row r="256">
      <c r="A256" t="inlineStr">
        <is>
          <t>Laboratório C</t>
        </is>
      </c>
      <c r="B256" t="inlineStr">
        <is>
          <t>Produto A</t>
        </is>
      </c>
      <c r="C256" t="n">
        <v>62</v>
      </c>
      <c r="D256" t="n">
        <v>2156.478888303218</v>
      </c>
      <c r="E256" t="n">
        <v>133701.6910747995</v>
      </c>
      <c r="F256" s="2" t="n">
        <v>45658</v>
      </c>
    </row>
    <row r="257">
      <c r="A257" t="inlineStr">
        <is>
          <t>Hospital A</t>
        </is>
      </c>
      <c r="B257" t="inlineStr">
        <is>
          <t>Produto B</t>
        </is>
      </c>
      <c r="C257" t="n">
        <v>36</v>
      </c>
      <c r="D257" t="n">
        <v>1102.374558031137</v>
      </c>
      <c r="E257" t="n">
        <v>39685.48408912093</v>
      </c>
      <c r="F257" s="2" t="n">
        <v>45658</v>
      </c>
    </row>
    <row r="258">
      <c r="A258" t="inlineStr">
        <is>
          <t>Laboratório C</t>
        </is>
      </c>
      <c r="B258" t="inlineStr">
        <is>
          <t>Produto B</t>
        </is>
      </c>
      <c r="C258" t="n">
        <v>46</v>
      </c>
      <c r="D258" t="n">
        <v>2255.618486054544</v>
      </c>
      <c r="E258" t="n">
        <v>103758.450358509</v>
      </c>
      <c r="F258" s="2" t="n">
        <v>45658</v>
      </c>
    </row>
    <row r="259">
      <c r="A259" t="inlineStr">
        <is>
          <t>Hospital A</t>
        </is>
      </c>
      <c r="B259" t="inlineStr">
        <is>
          <t>Produto C</t>
        </is>
      </c>
      <c r="C259" t="n">
        <v>17</v>
      </c>
      <c r="D259" t="n">
        <v>1655.790094535865</v>
      </c>
      <c r="E259" t="n">
        <v>28148.4316071097</v>
      </c>
      <c r="F259" s="2" t="n">
        <v>45658</v>
      </c>
    </row>
    <row r="260">
      <c r="A260" t="inlineStr">
        <is>
          <t>Clínica B</t>
        </is>
      </c>
      <c r="B260" t="inlineStr">
        <is>
          <t>Produto A</t>
        </is>
      </c>
      <c r="C260" t="n">
        <v>21</v>
      </c>
      <c r="D260" t="n">
        <v>2373.270515937871</v>
      </c>
      <c r="E260" t="n">
        <v>49838.68083469529</v>
      </c>
      <c r="F260" s="2" t="n">
        <v>45658</v>
      </c>
    </row>
    <row r="261">
      <c r="A261" t="inlineStr">
        <is>
          <t>Hospital A</t>
        </is>
      </c>
      <c r="B261" t="inlineStr">
        <is>
          <t>Produto A</t>
        </is>
      </c>
      <c r="C261" t="n">
        <v>63</v>
      </c>
      <c r="D261" t="n">
        <v>2082.299291682858</v>
      </c>
      <c r="E261" t="n">
        <v>131184.85537602</v>
      </c>
      <c r="F261" s="2" t="n">
        <v>45658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theme="1"/>
    <outlinePr summaryBelow="1" summaryRight="1"/>
    <pageSetUpPr/>
  </sheetPr>
  <dimension ref="A1:CZ37"/>
  <sheetViews>
    <sheetView workbookViewId="0">
      <selection activeCell="J29" sqref="J29"/>
    </sheetView>
  </sheetViews>
  <sheetFormatPr baseColWidth="8" defaultRowHeight="15"/>
  <sheetData>
    <row r="1">
      <c r="A1" s="1" t="inlineStr">
        <is>
          <t>Mês</t>
        </is>
      </c>
      <c r="B1" s="1" t="inlineStr">
        <is>
          <t>Descrição</t>
        </is>
      </c>
      <c r="C1" s="1" t="inlineStr">
        <is>
          <t>Valor</t>
        </is>
      </c>
      <c r="E1" s="29" t="inlineStr">
        <is>
          <t>TOTAL D&amp;A</t>
        </is>
      </c>
      <c r="F1" s="30" t="n"/>
      <c r="G1" s="30" t="n"/>
      <c r="H1" s="30" t="n"/>
      <c r="I1" s="30" t="n"/>
      <c r="J1" s="31">
        <f>SUM(J6:J18)</f>
        <v/>
      </c>
      <c r="K1" s="31">
        <f>SUM(K6:K18)</f>
        <v/>
      </c>
      <c r="L1" s="31">
        <f>SUM(L6:L18)</f>
        <v/>
      </c>
      <c r="M1" s="31">
        <f>SUM(M6:M18)</f>
        <v/>
      </c>
      <c r="N1" s="31">
        <f>SUM(N6:N18)</f>
        <v/>
      </c>
      <c r="O1" s="31">
        <f>SUM(O6:O18)</f>
        <v/>
      </c>
      <c r="P1" s="31">
        <f>SUM(P6:P18)</f>
        <v/>
      </c>
      <c r="Q1" s="31">
        <f>SUM(Q6:Q18)</f>
        <v/>
      </c>
      <c r="R1" s="31">
        <f>SUM(R6:R18)</f>
        <v/>
      </c>
      <c r="S1" s="31">
        <f>SUM(S6:S18)</f>
        <v/>
      </c>
      <c r="T1" s="31">
        <f>SUM(T6:T18)</f>
        <v/>
      </c>
      <c r="U1" s="31">
        <f>SUM(U6:U18)</f>
        <v/>
      </c>
      <c r="V1" s="31">
        <f>SUM(V6:V18)</f>
        <v/>
      </c>
      <c r="W1" s="30" t="n"/>
      <c r="X1" s="30" t="n"/>
      <c r="Y1" s="30" t="n"/>
      <c r="Z1" s="30" t="n"/>
      <c r="AA1" s="30" t="n"/>
      <c r="AB1" s="30" t="n"/>
      <c r="AC1" s="30" t="n"/>
      <c r="AD1" s="30" t="n"/>
      <c r="AE1" s="30" t="n"/>
      <c r="AF1" s="30" t="n"/>
      <c r="AG1" s="30" t="n"/>
      <c r="AH1" s="30" t="n"/>
      <c r="AI1" s="30" t="n"/>
      <c r="AJ1" s="30" t="n"/>
      <c r="AK1" s="30" t="n"/>
      <c r="AL1" s="30" t="n"/>
      <c r="AM1" s="30" t="n"/>
      <c r="AN1" s="30" t="n"/>
      <c r="AO1" s="30" t="n"/>
      <c r="AP1" s="30" t="n"/>
      <c r="AQ1" s="30" t="n"/>
      <c r="AR1" s="30" t="n"/>
      <c r="AS1" s="30" t="n"/>
      <c r="AT1" s="30" t="n"/>
      <c r="AU1" s="30" t="n"/>
      <c r="AV1" s="30" t="n"/>
      <c r="AW1" s="30" t="n"/>
      <c r="AX1" s="30" t="n"/>
      <c r="AY1" s="30" t="n"/>
      <c r="AZ1" s="30" t="n"/>
      <c r="BA1" s="30" t="n"/>
      <c r="BB1" s="30" t="n"/>
      <c r="BC1" s="30" t="n"/>
      <c r="BD1" s="30" t="n"/>
      <c r="BE1" s="30" t="n"/>
      <c r="BF1" s="30" t="n"/>
      <c r="BG1" s="30" t="n"/>
      <c r="BH1" s="30" t="n"/>
      <c r="BI1" s="30" t="n"/>
      <c r="BJ1" s="30" t="n"/>
      <c r="BK1" s="30" t="n"/>
      <c r="BL1" s="30" t="n"/>
      <c r="BM1" s="30" t="n"/>
      <c r="BN1" s="30" t="n"/>
      <c r="BO1" s="30" t="n"/>
      <c r="BP1" s="30" t="n"/>
      <c r="BQ1" s="30" t="n"/>
      <c r="BR1" s="30" t="n"/>
      <c r="BS1" s="30" t="n"/>
      <c r="BT1" s="30" t="n"/>
      <c r="BU1" s="30" t="n"/>
      <c r="BV1" s="30" t="n"/>
      <c r="BW1" s="30" t="n"/>
      <c r="BX1" s="30" t="n"/>
      <c r="BY1" s="30" t="n"/>
      <c r="BZ1" s="30" t="n"/>
      <c r="CA1" s="30" t="n"/>
      <c r="CB1" s="30" t="n"/>
      <c r="CC1" s="30" t="n"/>
      <c r="CD1" s="30" t="n"/>
      <c r="CE1" s="30" t="n"/>
      <c r="CF1" s="30" t="n"/>
      <c r="CG1" s="30" t="n"/>
      <c r="CH1" s="30" t="n"/>
      <c r="CI1" s="30" t="n"/>
      <c r="CJ1" s="30" t="n"/>
      <c r="CK1" s="30" t="n"/>
      <c r="CL1" s="30" t="n"/>
      <c r="CM1" s="30" t="n"/>
      <c r="CN1" s="30" t="n"/>
      <c r="CO1" s="30" t="n"/>
      <c r="CP1" s="30" t="n"/>
      <c r="CQ1" s="30" t="n"/>
      <c r="CR1" s="30" t="n"/>
      <c r="CS1" s="30" t="n"/>
      <c r="CT1" s="30" t="n"/>
      <c r="CU1" s="30" t="n"/>
      <c r="CV1" s="30" t="n"/>
      <c r="CW1" s="30" t="n"/>
      <c r="CX1" s="30" t="n"/>
      <c r="CY1" s="30" t="n"/>
      <c r="CZ1" s="30" t="n"/>
    </row>
    <row r="2">
      <c r="A2" s="2" t="n">
        <v>45292</v>
      </c>
      <c r="B2" t="inlineStr">
        <is>
          <t>Expansão</t>
        </is>
      </c>
      <c r="C2" t="n">
        <v>75649.45171974457</v>
      </c>
      <c r="E2" s="30" t="n"/>
      <c r="F2" s="30" t="n"/>
      <c r="G2" s="30" t="n"/>
      <c r="H2" s="30" t="n"/>
      <c r="I2" s="30" t="n"/>
      <c r="J2" s="30" t="n"/>
      <c r="K2" s="30" t="n"/>
      <c r="L2" s="30" t="n"/>
      <c r="M2" s="30" t="n"/>
      <c r="N2" s="30" t="n"/>
      <c r="O2" s="30" t="n"/>
      <c r="P2" s="30" t="n"/>
      <c r="Q2" s="30" t="n"/>
      <c r="R2" s="30" t="n"/>
      <c r="S2" s="30" t="n"/>
      <c r="T2" s="30" t="n"/>
      <c r="U2" s="30" t="n"/>
      <c r="V2" s="30" t="n"/>
      <c r="W2" s="30" t="n"/>
      <c r="X2" s="30" t="n"/>
      <c r="Y2" s="30" t="n"/>
      <c r="Z2" s="30" t="n"/>
      <c r="AA2" s="30" t="n"/>
      <c r="AB2" s="30" t="n"/>
      <c r="AC2" s="30" t="n"/>
      <c r="AD2" s="30" t="n"/>
      <c r="AE2" s="30" t="n"/>
      <c r="AF2" s="30" t="n"/>
      <c r="AG2" s="30" t="n"/>
      <c r="AH2" s="30" t="n"/>
      <c r="AI2" s="30" t="n"/>
      <c r="AJ2" s="30" t="n"/>
      <c r="AK2" s="30" t="n"/>
      <c r="AL2" s="30" t="n"/>
      <c r="AM2" s="30" t="n"/>
      <c r="AN2" s="30" t="n"/>
      <c r="AO2" s="30" t="n"/>
      <c r="AP2" s="30" t="n"/>
      <c r="AQ2" s="30" t="n"/>
      <c r="AR2" s="30" t="n"/>
      <c r="AS2" s="30" t="n"/>
      <c r="AT2" s="30" t="n"/>
      <c r="AU2" s="30" t="n"/>
      <c r="AV2" s="30" t="n"/>
      <c r="AW2" s="30" t="n"/>
      <c r="AX2" s="30" t="n"/>
      <c r="AY2" s="30" t="n"/>
      <c r="AZ2" s="30" t="n"/>
      <c r="BA2" s="30" t="n"/>
      <c r="BB2" s="30" t="n"/>
      <c r="BC2" s="30" t="n"/>
      <c r="BD2" s="30" t="n"/>
      <c r="BE2" s="30" t="n"/>
      <c r="BF2" s="30" t="n"/>
      <c r="BG2" s="30" t="n"/>
      <c r="BH2" s="30" t="n"/>
      <c r="BI2" s="30" t="n"/>
      <c r="BJ2" s="30" t="n"/>
      <c r="BK2" s="30" t="n"/>
      <c r="BL2" s="30" t="n"/>
      <c r="BM2" s="30" t="n"/>
      <c r="BN2" s="30" t="n"/>
      <c r="BO2" s="30" t="n"/>
      <c r="BP2" s="30" t="n"/>
      <c r="BQ2" s="30" t="n"/>
      <c r="BR2" s="30" t="n"/>
      <c r="BS2" s="30" t="n"/>
      <c r="BT2" s="30" t="n"/>
      <c r="BU2" s="30" t="n"/>
      <c r="BV2" s="30" t="n"/>
      <c r="BW2" s="30" t="n"/>
      <c r="BX2" s="30" t="n"/>
      <c r="BY2" s="30" t="n"/>
      <c r="BZ2" s="30" t="n"/>
      <c r="CA2" s="30" t="n"/>
      <c r="CB2" s="30" t="n"/>
      <c r="CC2" s="30" t="n"/>
      <c r="CD2" s="30" t="n"/>
      <c r="CE2" s="30" t="n"/>
      <c r="CF2" s="30" t="n"/>
      <c r="CG2" s="30" t="n"/>
      <c r="CH2" s="30" t="n"/>
      <c r="CI2" s="30" t="n"/>
      <c r="CJ2" s="30" t="n"/>
      <c r="CK2" s="30" t="n"/>
      <c r="CL2" s="30" t="n"/>
      <c r="CM2" s="30" t="n"/>
      <c r="CN2" s="30" t="n"/>
      <c r="CO2" s="30" t="n"/>
      <c r="CP2" s="30" t="n"/>
      <c r="CQ2" s="30" t="n"/>
      <c r="CR2" s="30" t="n"/>
      <c r="CS2" s="30" t="n"/>
      <c r="CT2" s="30" t="n"/>
      <c r="CU2" s="30" t="n"/>
      <c r="CV2" s="30" t="n"/>
      <c r="CW2" s="30" t="n"/>
      <c r="CX2" s="30" t="n"/>
      <c r="CY2" s="30" t="n"/>
      <c r="CZ2" s="30" t="n"/>
    </row>
    <row r="3" ht="15.75" customHeight="1">
      <c r="A3" s="2" t="n">
        <v>45292</v>
      </c>
      <c r="B3" t="inlineStr">
        <is>
          <t>Expansão</t>
        </is>
      </c>
      <c r="C3" t="n">
        <v>20257.4610883423</v>
      </c>
      <c r="E3" s="32" t="inlineStr">
        <is>
          <t>WATERFALL DE DEPRECIAÇÃO</t>
        </is>
      </c>
      <c r="F3" s="30" t="n"/>
      <c r="G3" s="30" t="n"/>
      <c r="H3" s="30" t="n"/>
      <c r="I3" s="30" t="n"/>
      <c r="J3" s="30" t="n"/>
      <c r="K3" s="30" t="n"/>
      <c r="L3" s="30" t="n"/>
      <c r="M3" s="30" t="n"/>
      <c r="N3" s="30" t="n"/>
      <c r="O3" s="30" t="n"/>
      <c r="P3" s="30" t="n"/>
      <c r="Q3" s="30" t="n"/>
      <c r="R3" s="30" t="n"/>
      <c r="S3" s="30" t="n"/>
      <c r="T3" s="30" t="n"/>
      <c r="U3" s="30" t="n"/>
      <c r="V3" s="30" t="n"/>
      <c r="W3" s="30" t="n"/>
      <c r="X3" s="30" t="n"/>
      <c r="Y3" s="30" t="n"/>
      <c r="Z3" s="30" t="n"/>
      <c r="AA3" s="30" t="n"/>
      <c r="AB3" s="30" t="n"/>
      <c r="AC3" s="30" t="n"/>
      <c r="AD3" s="30" t="n"/>
      <c r="AE3" s="30" t="n"/>
      <c r="AF3" s="30" t="n"/>
      <c r="AG3" s="30" t="n"/>
      <c r="AH3" s="30" t="n"/>
      <c r="AI3" s="30" t="n"/>
      <c r="AJ3" s="30" t="n"/>
      <c r="AK3" s="30" t="n"/>
      <c r="AL3" s="30" t="n"/>
      <c r="AM3" s="30" t="n"/>
      <c r="AN3" s="30" t="n"/>
      <c r="AO3" s="30" t="n"/>
      <c r="AP3" s="30" t="n"/>
      <c r="AQ3" s="30" t="n"/>
      <c r="AR3" s="30" t="n"/>
      <c r="AS3" s="30" t="n"/>
      <c r="AT3" s="30" t="n"/>
      <c r="AU3" s="30" t="n"/>
      <c r="AV3" s="30" t="n"/>
      <c r="AW3" s="30" t="n"/>
      <c r="AX3" s="30" t="n"/>
      <c r="AY3" s="30" t="n"/>
      <c r="AZ3" s="30" t="n"/>
      <c r="BA3" s="30" t="n"/>
      <c r="BB3" s="30" t="n"/>
      <c r="BC3" s="30" t="n"/>
      <c r="BD3" s="30" t="n"/>
      <c r="BE3" s="30" t="n"/>
      <c r="BF3" s="30" t="n"/>
      <c r="BG3" s="30" t="n"/>
      <c r="BH3" s="30" t="n"/>
      <c r="BI3" s="30" t="n"/>
      <c r="BJ3" s="30" t="n"/>
      <c r="BK3" s="30" t="n"/>
      <c r="BL3" s="30" t="n"/>
      <c r="BM3" s="30" t="n"/>
      <c r="BN3" s="30" t="n"/>
      <c r="BO3" s="30" t="n"/>
      <c r="BP3" s="30" t="n"/>
      <c r="BQ3" s="30" t="n"/>
      <c r="BR3" s="30" t="n"/>
      <c r="BS3" s="30" t="n"/>
      <c r="BT3" s="30" t="n"/>
      <c r="BU3" s="30" t="n"/>
      <c r="BV3" s="30" t="n"/>
      <c r="BW3" s="30" t="n"/>
      <c r="BX3" s="30" t="n"/>
      <c r="BY3" s="30" t="n"/>
      <c r="BZ3" s="30" t="n"/>
      <c r="CA3" s="30" t="n"/>
      <c r="CB3" s="30" t="n"/>
      <c r="CC3" s="30" t="n"/>
      <c r="CD3" s="30" t="n"/>
      <c r="CE3" s="30" t="n"/>
      <c r="CF3" s="30" t="n"/>
      <c r="CG3" s="30" t="n"/>
      <c r="CH3" s="30" t="n"/>
      <c r="CI3" s="30" t="n"/>
      <c r="CJ3" s="30" t="n"/>
      <c r="CK3" s="30" t="n"/>
      <c r="CL3" s="30" t="n"/>
      <c r="CM3" s="30" t="n"/>
      <c r="CN3" s="30" t="n"/>
      <c r="CO3" s="30" t="n"/>
      <c r="CP3" s="30" t="n"/>
      <c r="CQ3" s="30" t="n"/>
      <c r="CR3" s="30" t="n"/>
      <c r="CS3" s="30" t="n"/>
      <c r="CT3" s="30" t="n"/>
      <c r="CU3" s="30" t="n"/>
      <c r="CV3" s="30" t="n"/>
      <c r="CW3" s="30" t="n"/>
      <c r="CX3" s="30" t="n"/>
      <c r="CY3" s="30" t="n"/>
      <c r="CZ3" s="30" t="n"/>
    </row>
    <row r="4">
      <c r="A4" s="2" t="n">
        <v>45292</v>
      </c>
      <c r="B4" t="inlineStr">
        <is>
          <t>Software</t>
        </is>
      </c>
      <c r="C4" t="n">
        <v>69567.14699678728</v>
      </c>
      <c r="E4" s="30" t="n"/>
      <c r="F4" s="30" t="n"/>
      <c r="G4" s="30" t="n"/>
      <c r="H4" s="30" t="n"/>
      <c r="I4" s="30" t="n"/>
      <c r="J4" s="30" t="n"/>
      <c r="K4" s="30" t="n"/>
      <c r="L4" s="30" t="n"/>
      <c r="M4" s="30" t="n"/>
      <c r="N4" s="30" t="n"/>
      <c r="O4" s="30" t="n"/>
      <c r="P4" s="30" t="n"/>
      <c r="Q4" s="30" t="n"/>
      <c r="R4" s="30" t="n"/>
      <c r="S4" s="30" t="n"/>
      <c r="T4" s="30" t="n"/>
      <c r="U4" s="30" t="n"/>
      <c r="V4" s="30" t="n"/>
      <c r="W4" s="30" t="n"/>
      <c r="X4" s="30" t="n"/>
      <c r="Y4" s="30" t="n"/>
      <c r="Z4" s="30" t="n"/>
      <c r="AA4" s="30" t="n"/>
      <c r="AB4" s="30" t="n"/>
      <c r="AC4" s="30" t="n"/>
      <c r="AD4" s="30" t="n"/>
      <c r="AE4" s="30" t="n"/>
      <c r="AF4" s="30" t="n"/>
      <c r="AG4" s="30" t="n"/>
      <c r="AH4" s="30" t="n"/>
      <c r="AI4" s="30" t="n"/>
      <c r="AJ4" s="30" t="n"/>
      <c r="AK4" s="30" t="n"/>
      <c r="AL4" s="30" t="n"/>
      <c r="AM4" s="30" t="n"/>
      <c r="AN4" s="30" t="n"/>
      <c r="AO4" s="30" t="n"/>
      <c r="AP4" s="30" t="n"/>
      <c r="AQ4" s="30" t="n"/>
      <c r="AR4" s="30" t="n"/>
      <c r="AS4" s="30" t="n"/>
      <c r="AT4" s="30" t="n"/>
      <c r="AU4" s="30" t="n"/>
      <c r="AV4" s="30" t="n"/>
      <c r="AW4" s="30" t="n"/>
      <c r="AX4" s="30" t="n"/>
      <c r="AY4" s="30" t="n"/>
      <c r="AZ4" s="30" t="n"/>
      <c r="BA4" s="30" t="n"/>
      <c r="BB4" s="30" t="n"/>
      <c r="BC4" s="30" t="n"/>
      <c r="BD4" s="30" t="n"/>
      <c r="BE4" s="30" t="n"/>
      <c r="BF4" s="30" t="n"/>
      <c r="BG4" s="30" t="n"/>
      <c r="BH4" s="30" t="n"/>
      <c r="BI4" s="30" t="n"/>
      <c r="BJ4" s="30" t="n"/>
      <c r="BK4" s="30" t="n"/>
      <c r="BL4" s="30" t="n"/>
      <c r="BM4" s="30" t="n"/>
      <c r="BN4" s="30" t="n"/>
      <c r="BO4" s="30" t="n"/>
      <c r="BP4" s="30" t="n"/>
      <c r="BQ4" s="30" t="n"/>
      <c r="BR4" s="30" t="n"/>
      <c r="BS4" s="30" t="n"/>
      <c r="BT4" s="30" t="n"/>
      <c r="BU4" s="30" t="n"/>
      <c r="BV4" s="30" t="n"/>
      <c r="BW4" s="30" t="n"/>
      <c r="BX4" s="30" t="n"/>
      <c r="BY4" s="30" t="n"/>
      <c r="BZ4" s="30" t="n"/>
      <c r="CA4" s="30" t="n"/>
      <c r="CB4" s="30" t="n"/>
      <c r="CC4" s="30" t="n"/>
      <c r="CD4" s="30" t="n"/>
      <c r="CE4" s="30" t="n"/>
      <c r="CF4" s="30" t="n"/>
      <c r="CG4" s="30" t="n"/>
      <c r="CH4" s="30" t="n"/>
      <c r="CI4" s="30" t="n"/>
      <c r="CJ4" s="30" t="n"/>
      <c r="CK4" s="30" t="n"/>
      <c r="CL4" s="30" t="n"/>
      <c r="CM4" s="30" t="n"/>
      <c r="CN4" s="30" t="n"/>
      <c r="CO4" s="30" t="n"/>
      <c r="CP4" s="30" t="n"/>
      <c r="CQ4" s="30" t="n"/>
      <c r="CR4" s="30" t="n"/>
      <c r="CS4" s="30" t="n"/>
      <c r="CT4" s="30" t="n"/>
      <c r="CU4" s="30" t="n"/>
      <c r="CV4" s="30" t="n"/>
      <c r="CW4" s="30" t="n"/>
      <c r="CX4" s="30" t="n"/>
      <c r="CY4" s="30" t="n"/>
      <c r="CZ4" s="30" t="n"/>
    </row>
    <row r="5">
      <c r="A5" s="2" t="n">
        <v>45323</v>
      </c>
      <c r="B5" t="inlineStr">
        <is>
          <t>Equipamento</t>
        </is>
      </c>
      <c r="C5" t="n">
        <v>48439.4408353086</v>
      </c>
      <c r="E5" s="33" t="inlineStr">
        <is>
          <t>Ativo</t>
        </is>
      </c>
      <c r="F5" s="33" t="inlineStr">
        <is>
          <t>Descrição</t>
        </is>
      </c>
      <c r="G5" s="33" t="inlineStr">
        <is>
          <t>Valor</t>
        </is>
      </c>
      <c r="H5" s="33" t="inlineStr">
        <is>
          <t>Vida Útil (anos)</t>
        </is>
      </c>
      <c r="I5" s="33" t="inlineStr">
        <is>
          <t>Deprec. Mensal</t>
        </is>
      </c>
      <c r="J5" s="34" t="n">
        <v>45292</v>
      </c>
      <c r="K5" s="35">
        <f>EDATE(J5,1)</f>
        <v/>
      </c>
      <c r="L5" s="35">
        <f>EDATE(K5,1)</f>
        <v/>
      </c>
      <c r="M5" s="35">
        <f>EDATE(L5,1)</f>
        <v/>
      </c>
      <c r="N5" s="35">
        <f>EDATE(M5,1)</f>
        <v/>
      </c>
      <c r="O5" s="35">
        <f>EDATE(N5,1)</f>
        <v/>
      </c>
      <c r="P5" s="35">
        <f>EDATE(O5,1)</f>
        <v/>
      </c>
      <c r="Q5" s="35">
        <f>EDATE(P5,1)</f>
        <v/>
      </c>
      <c r="R5" s="35">
        <f>EDATE(Q5,1)</f>
        <v/>
      </c>
      <c r="S5" s="35">
        <f>EDATE(R5,1)</f>
        <v/>
      </c>
      <c r="T5" s="35">
        <f>EDATE(S5,1)</f>
        <v/>
      </c>
      <c r="U5" s="35">
        <f>EDATE(T5,1)</f>
        <v/>
      </c>
      <c r="V5" s="35">
        <f>EDATE(U5,1)</f>
        <v/>
      </c>
      <c r="W5" s="30" t="n"/>
      <c r="X5" s="30" t="n"/>
      <c r="Y5" s="30" t="n"/>
      <c r="Z5" s="30" t="n"/>
      <c r="AA5" s="30" t="n"/>
      <c r="AB5" s="30" t="n"/>
      <c r="AC5" s="30" t="n"/>
      <c r="AD5" s="30" t="n"/>
      <c r="AE5" s="30" t="n"/>
      <c r="AF5" s="30" t="n"/>
      <c r="AG5" s="30" t="n"/>
      <c r="AH5" s="30" t="n"/>
      <c r="AI5" s="30" t="n"/>
      <c r="AJ5" s="30" t="n"/>
      <c r="AK5" s="30" t="n"/>
      <c r="AL5" s="30" t="n"/>
      <c r="AM5" s="30" t="n"/>
      <c r="AN5" s="30" t="n"/>
      <c r="AO5" s="30" t="n"/>
      <c r="AP5" s="30" t="n"/>
      <c r="AQ5" s="30" t="n"/>
      <c r="AR5" s="30" t="n"/>
      <c r="AS5" s="30" t="n"/>
      <c r="AT5" s="30" t="n"/>
      <c r="AU5" s="30" t="n"/>
      <c r="AV5" s="30" t="n"/>
      <c r="AW5" s="30" t="n"/>
      <c r="AX5" s="30" t="n"/>
      <c r="AY5" s="30" t="n"/>
      <c r="AZ5" s="30" t="n"/>
      <c r="BA5" s="30" t="n"/>
      <c r="BB5" s="30" t="n"/>
      <c r="BC5" s="30" t="n"/>
      <c r="BD5" s="30" t="n"/>
      <c r="BE5" s="30" t="n"/>
      <c r="BF5" s="30" t="n"/>
      <c r="BG5" s="30" t="n"/>
      <c r="BH5" s="30" t="n"/>
      <c r="BI5" s="30" t="n"/>
      <c r="BJ5" s="30" t="n"/>
      <c r="BK5" s="30" t="n"/>
      <c r="BL5" s="30" t="n"/>
      <c r="BM5" s="30" t="n"/>
      <c r="BN5" s="30" t="n"/>
      <c r="BO5" s="30" t="n"/>
      <c r="BP5" s="30" t="n"/>
      <c r="BQ5" s="30" t="n"/>
      <c r="BR5" s="30" t="n"/>
      <c r="BS5" s="30" t="n"/>
      <c r="BT5" s="30" t="n"/>
      <c r="BU5" s="30" t="n"/>
      <c r="BV5" s="30" t="n"/>
      <c r="BW5" s="30" t="n"/>
      <c r="BX5" s="30" t="n"/>
      <c r="BY5" s="30" t="n"/>
      <c r="BZ5" s="30" t="n"/>
      <c r="CA5" s="30" t="n"/>
      <c r="CB5" s="30" t="n"/>
      <c r="CC5" s="30" t="n"/>
      <c r="CD5" s="30" t="n"/>
      <c r="CE5" s="30" t="n"/>
      <c r="CF5" s="30" t="n"/>
      <c r="CG5" s="30" t="n"/>
      <c r="CH5" s="30" t="n"/>
      <c r="CI5" s="30" t="n"/>
      <c r="CJ5" s="30" t="n"/>
      <c r="CK5" s="30" t="n"/>
      <c r="CL5" s="30" t="n"/>
      <c r="CM5" s="30" t="n"/>
      <c r="CN5" s="30" t="n"/>
      <c r="CO5" s="30" t="n"/>
      <c r="CP5" s="30" t="n"/>
      <c r="CQ5" s="30" t="n"/>
      <c r="CR5" s="30" t="n"/>
      <c r="CS5" s="30" t="n"/>
      <c r="CT5" s="30" t="n"/>
      <c r="CU5" s="30" t="n"/>
      <c r="CV5" s="30" t="n"/>
      <c r="CW5" s="30" t="n"/>
      <c r="CX5" s="30" t="n"/>
      <c r="CY5" s="30" t="n"/>
      <c r="CZ5" s="30" t="n"/>
    </row>
    <row r="6">
      <c r="A6" s="2" t="n">
        <v>45323</v>
      </c>
      <c r="B6" t="inlineStr">
        <is>
          <t>Equipamento</t>
        </is>
      </c>
      <c r="C6" t="n">
        <v>83535.78650216677</v>
      </c>
      <c r="E6" s="30" t="n">
        <v>1</v>
      </c>
      <c r="F6" s="30" t="inlineStr">
        <is>
          <t>Expansão</t>
        </is>
      </c>
      <c r="G6" s="36" t="n">
        <v>75649.45171974457</v>
      </c>
      <c r="H6" s="30" t="n">
        <v>3</v>
      </c>
      <c r="I6" s="36">
        <f>G6/(H6*12)</f>
        <v/>
      </c>
      <c r="J6" s="36">
        <f>IF(AND(J5&gt;=DATE(2024,2,1),J5&lt;DATE(2027,2,1)),I6,0)</f>
        <v/>
      </c>
      <c r="K6" s="36">
        <f>IF(AND(K5&gt;=DATE(2024,2,1),K5&lt;DATE(2027,2,1)),I6,0)</f>
        <v/>
      </c>
      <c r="L6" s="36">
        <f>IF(AND(L5&gt;=DATE(2024,2,1),L5&lt;DATE(2027,2,1)),I6,0)</f>
        <v/>
      </c>
      <c r="M6" s="36">
        <f>IF(AND(M5&gt;=DATE(2024,2,1),M5&lt;DATE(2027,2,1)),I6,0)</f>
        <v/>
      </c>
      <c r="N6" s="36">
        <f>IF(AND(N5&gt;=DATE(2024,2,1),N5&lt;DATE(2027,2,1)),I6,0)</f>
        <v/>
      </c>
      <c r="O6" s="36">
        <f>IF(AND(O5&gt;=DATE(2024,2,1),O5&lt;DATE(2027,2,1)),I6,0)</f>
        <v/>
      </c>
      <c r="P6" s="36">
        <f>IF(AND(P5&gt;=DATE(2024,2,1),P5&lt;DATE(2027,2,1)),I6,0)</f>
        <v/>
      </c>
      <c r="Q6" s="36">
        <f>IF(AND(Q5&gt;=DATE(2024,2,1),Q5&lt;DATE(2027,2,1)),I6,0)</f>
        <v/>
      </c>
      <c r="R6" s="36">
        <f>IF(AND(R5&gt;=DATE(2024,2,1),R5&lt;DATE(2027,2,1)),I6,0)</f>
        <v/>
      </c>
      <c r="S6" s="36">
        <f>IF(AND(S5&gt;=DATE(2024,2,1),S5&lt;DATE(2027,2,1)),I6,0)</f>
        <v/>
      </c>
      <c r="T6" s="36">
        <f>IF(AND(T5&gt;=DATE(2024,2,1),T5&lt;DATE(2027,2,1)),I6,0)</f>
        <v/>
      </c>
      <c r="U6" s="36">
        <f>IF(AND(U5&gt;=DATE(2024,2,1),U5&lt;DATE(2027,2,1)),I6,0)</f>
        <v/>
      </c>
      <c r="V6" s="36">
        <f>IF(AND(V5&gt;=DATE(2024,2,1),V5&lt;DATE(2027,2,1)),I6,0)</f>
        <v/>
      </c>
      <c r="W6" s="30" t="n"/>
      <c r="X6" s="30" t="n"/>
      <c r="Y6" s="30" t="n"/>
      <c r="Z6" s="30" t="n"/>
      <c r="AA6" s="30" t="n"/>
      <c r="AB6" s="30" t="n"/>
      <c r="AC6" s="30" t="n"/>
      <c r="AD6" s="30" t="n"/>
      <c r="AE6" s="30" t="n"/>
      <c r="AF6" s="30" t="n"/>
      <c r="AG6" s="30" t="n"/>
      <c r="AH6" s="30" t="n"/>
      <c r="AI6" s="30" t="n"/>
      <c r="AJ6" s="30" t="n"/>
      <c r="AK6" s="30" t="n"/>
      <c r="AL6" s="30" t="n"/>
      <c r="AM6" s="30" t="n"/>
      <c r="AN6" s="30" t="n"/>
      <c r="AO6" s="30" t="n"/>
      <c r="AP6" s="30" t="n"/>
      <c r="AQ6" s="30" t="n"/>
      <c r="AR6" s="30" t="n"/>
      <c r="AS6" s="30" t="n"/>
      <c r="AT6" s="30" t="n"/>
      <c r="AU6" s="30" t="n"/>
      <c r="AV6" s="30" t="n"/>
      <c r="AW6" s="30" t="n"/>
      <c r="AX6" s="30" t="n"/>
      <c r="AY6" s="30" t="n"/>
      <c r="AZ6" s="30" t="n"/>
      <c r="BA6" s="30" t="n"/>
      <c r="BB6" s="30" t="n"/>
      <c r="BC6" s="30" t="n"/>
      <c r="BD6" s="30" t="n"/>
      <c r="BE6" s="30" t="n"/>
      <c r="BF6" s="30" t="n"/>
      <c r="BG6" s="30" t="n"/>
      <c r="BH6" s="30" t="n"/>
      <c r="BI6" s="30" t="n"/>
      <c r="BJ6" s="30" t="n"/>
      <c r="BK6" s="30" t="n"/>
      <c r="BL6" s="30" t="n"/>
      <c r="BM6" s="30" t="n"/>
      <c r="BN6" s="30" t="n"/>
      <c r="BO6" s="30" t="n"/>
      <c r="BP6" s="30" t="n"/>
      <c r="BQ6" s="30" t="n"/>
      <c r="BR6" s="30" t="n"/>
      <c r="BS6" s="30" t="n"/>
      <c r="BT6" s="30" t="n"/>
      <c r="BU6" s="30" t="n"/>
      <c r="BV6" s="30" t="n"/>
      <c r="BW6" s="30" t="n"/>
      <c r="BX6" s="30" t="n"/>
      <c r="BY6" s="30" t="n"/>
      <c r="BZ6" s="30" t="n"/>
      <c r="CA6" s="30" t="n"/>
      <c r="CB6" s="30" t="n"/>
      <c r="CC6" s="30" t="n"/>
      <c r="CD6" s="30" t="n"/>
      <c r="CE6" s="30" t="n"/>
      <c r="CF6" s="30" t="n"/>
      <c r="CG6" s="30" t="n"/>
      <c r="CH6" s="30" t="n"/>
      <c r="CI6" s="30" t="n"/>
      <c r="CJ6" s="30" t="n"/>
      <c r="CK6" s="30" t="n"/>
      <c r="CL6" s="30" t="n"/>
      <c r="CM6" s="30" t="n"/>
      <c r="CN6" s="30" t="n"/>
      <c r="CO6" s="30" t="n"/>
      <c r="CP6" s="30" t="n"/>
      <c r="CQ6" s="30" t="n"/>
      <c r="CR6" s="30" t="n"/>
      <c r="CS6" s="30" t="n"/>
      <c r="CT6" s="30" t="n"/>
      <c r="CU6" s="30" t="n"/>
      <c r="CV6" s="30" t="n"/>
      <c r="CW6" s="30" t="n"/>
      <c r="CX6" s="30" t="n"/>
      <c r="CY6" s="30" t="n"/>
      <c r="CZ6" s="30" t="n"/>
    </row>
    <row r="7">
      <c r="A7" s="2" t="n">
        <v>45323</v>
      </c>
      <c r="B7" t="inlineStr">
        <is>
          <t>Equipamento</t>
        </is>
      </c>
      <c r="C7" t="n">
        <v>27439.25118585057</v>
      </c>
      <c r="E7" s="30" t="n">
        <v>2</v>
      </c>
      <c r="F7" s="30" t="inlineStr">
        <is>
          <t>Expansão</t>
        </is>
      </c>
      <c r="G7" s="36" t="n">
        <v>20257.4610883423</v>
      </c>
      <c r="H7" s="30" t="n">
        <v>3</v>
      </c>
      <c r="I7" s="36">
        <f>G7/(H7*12)</f>
        <v/>
      </c>
      <c r="J7" s="36">
        <f>IF(AND(J5&gt;=DATE(2024,2,1),J5&lt;DATE(2027,2,1)),I7,0)</f>
        <v/>
      </c>
      <c r="K7" s="36">
        <f>IF(AND(K5&gt;=DATE(2024,2,1),K5&lt;DATE(2027,2,1)),I7,0)</f>
        <v/>
      </c>
      <c r="L7" s="36">
        <f>IF(AND(L5&gt;=DATE(2024,2,1),L5&lt;DATE(2027,2,1)),I7,0)</f>
        <v/>
      </c>
      <c r="M7" s="36">
        <f>IF(AND(M5&gt;=DATE(2024,2,1),M5&lt;DATE(2027,2,1)),I7,0)</f>
        <v/>
      </c>
      <c r="N7" s="36">
        <f>IF(AND(N5&gt;=DATE(2024,2,1),N5&lt;DATE(2027,2,1)),I7,0)</f>
        <v/>
      </c>
      <c r="O7" s="36">
        <f>IF(AND(O5&gt;=DATE(2024,2,1),O5&lt;DATE(2027,2,1)),I7,0)</f>
        <v/>
      </c>
      <c r="P7" s="36">
        <f>IF(AND(P5&gt;=DATE(2024,2,1),P5&lt;DATE(2027,2,1)),I7,0)</f>
        <v/>
      </c>
      <c r="Q7" s="36">
        <f>IF(AND(Q5&gt;=DATE(2024,2,1),Q5&lt;DATE(2027,2,1)),I7,0)</f>
        <v/>
      </c>
      <c r="R7" s="36">
        <f>IF(AND(R5&gt;=DATE(2024,2,1),R5&lt;DATE(2027,2,1)),I7,0)</f>
        <v/>
      </c>
      <c r="S7" s="36">
        <f>IF(AND(S5&gt;=DATE(2024,2,1),S5&lt;DATE(2027,2,1)),I7,0)</f>
        <v/>
      </c>
      <c r="T7" s="36">
        <f>IF(AND(T5&gt;=DATE(2024,2,1),T5&lt;DATE(2027,2,1)),I7,0)</f>
        <v/>
      </c>
      <c r="U7" s="36">
        <f>IF(AND(U5&gt;=DATE(2024,2,1),U5&lt;DATE(2027,2,1)),I7,0)</f>
        <v/>
      </c>
      <c r="V7" s="36">
        <f>IF(AND(V5&gt;=DATE(2024,2,1),V5&lt;DATE(2027,2,1)),I7,0)</f>
        <v/>
      </c>
      <c r="W7" s="30" t="n"/>
      <c r="X7" s="30" t="n"/>
      <c r="Y7" s="30" t="n"/>
      <c r="Z7" s="30" t="n"/>
      <c r="AA7" s="30" t="n"/>
      <c r="AB7" s="30" t="n"/>
      <c r="AC7" s="30" t="n"/>
      <c r="AD7" s="30" t="n"/>
      <c r="AE7" s="30" t="n"/>
      <c r="AF7" s="30" t="n"/>
      <c r="AG7" s="30" t="n"/>
      <c r="AH7" s="30" t="n"/>
      <c r="AI7" s="30" t="n"/>
      <c r="AJ7" s="30" t="n"/>
      <c r="AK7" s="30" t="n"/>
      <c r="AL7" s="30" t="n"/>
      <c r="AM7" s="30" t="n"/>
      <c r="AN7" s="30" t="n"/>
      <c r="AO7" s="30" t="n"/>
      <c r="AP7" s="30" t="n"/>
      <c r="AQ7" s="30" t="n"/>
      <c r="AR7" s="30" t="n"/>
      <c r="AS7" s="30" t="n"/>
      <c r="AT7" s="30" t="n"/>
      <c r="AU7" s="30" t="n"/>
      <c r="AV7" s="30" t="n"/>
      <c r="AW7" s="30" t="n"/>
      <c r="AX7" s="30" t="n"/>
      <c r="AY7" s="30" t="n"/>
      <c r="AZ7" s="30" t="n"/>
      <c r="BA7" s="30" t="n"/>
      <c r="BB7" s="30" t="n"/>
      <c r="BC7" s="30" t="n"/>
      <c r="BD7" s="30" t="n"/>
      <c r="BE7" s="30" t="n"/>
      <c r="BF7" s="30" t="n"/>
      <c r="BG7" s="30" t="n"/>
      <c r="BH7" s="30" t="n"/>
      <c r="BI7" s="30" t="n"/>
      <c r="BJ7" s="30" t="n"/>
      <c r="BK7" s="30" t="n"/>
      <c r="BL7" s="30" t="n"/>
      <c r="BM7" s="30" t="n"/>
      <c r="BN7" s="30" t="n"/>
      <c r="BO7" s="30" t="n"/>
      <c r="BP7" s="30" t="n"/>
      <c r="BQ7" s="30" t="n"/>
      <c r="BR7" s="30" t="n"/>
      <c r="BS7" s="30" t="n"/>
      <c r="BT7" s="30" t="n"/>
      <c r="BU7" s="30" t="n"/>
      <c r="BV7" s="30" t="n"/>
      <c r="BW7" s="30" t="n"/>
      <c r="BX7" s="30" t="n"/>
      <c r="BY7" s="30" t="n"/>
      <c r="BZ7" s="30" t="n"/>
      <c r="CA7" s="30" t="n"/>
      <c r="CB7" s="30" t="n"/>
      <c r="CC7" s="30" t="n"/>
      <c r="CD7" s="30" t="n"/>
      <c r="CE7" s="30" t="n"/>
      <c r="CF7" s="30" t="n"/>
      <c r="CG7" s="30" t="n"/>
      <c r="CH7" s="30" t="n"/>
      <c r="CI7" s="30" t="n"/>
      <c r="CJ7" s="30" t="n"/>
      <c r="CK7" s="30" t="n"/>
      <c r="CL7" s="30" t="n"/>
      <c r="CM7" s="30" t="n"/>
      <c r="CN7" s="30" t="n"/>
      <c r="CO7" s="30" t="n"/>
      <c r="CP7" s="30" t="n"/>
      <c r="CQ7" s="30" t="n"/>
      <c r="CR7" s="30" t="n"/>
      <c r="CS7" s="30" t="n"/>
      <c r="CT7" s="30" t="n"/>
      <c r="CU7" s="30" t="n"/>
      <c r="CV7" s="30" t="n"/>
      <c r="CW7" s="30" t="n"/>
      <c r="CX7" s="30" t="n"/>
      <c r="CY7" s="30" t="n"/>
      <c r="CZ7" s="30" t="n"/>
    </row>
    <row r="8">
      <c r="A8" s="2" t="n">
        <v>45352</v>
      </c>
      <c r="B8" t="inlineStr">
        <is>
          <t>Equipamento</t>
        </is>
      </c>
      <c r="C8" t="n">
        <v>67056.18135587125</v>
      </c>
      <c r="E8" s="30" t="n">
        <v>3</v>
      </c>
      <c r="F8" s="30" t="inlineStr">
        <is>
          <t>Software</t>
        </is>
      </c>
      <c r="G8" s="36" t="n">
        <v>69567.14699678728</v>
      </c>
      <c r="H8" s="30" t="n">
        <v>5</v>
      </c>
      <c r="I8" s="36">
        <f>G8/(H8*12)</f>
        <v/>
      </c>
      <c r="J8" s="36">
        <f>IF(AND(J5&gt;=DATE(2024,2,1),J5&lt;DATE(2029,2,1)),I8,0)</f>
        <v/>
      </c>
      <c r="K8" s="36">
        <f>IF(AND(K5&gt;=DATE(2024,2,1),K5&lt;DATE(2029,2,1)),I8,0)</f>
        <v/>
      </c>
      <c r="L8" s="36">
        <f>IF(AND(L5&gt;=DATE(2024,2,1),L5&lt;DATE(2029,2,1)),I8,0)</f>
        <v/>
      </c>
      <c r="M8" s="36">
        <f>IF(AND(M5&gt;=DATE(2024,2,1),M5&lt;DATE(2029,2,1)),I8,0)</f>
        <v/>
      </c>
      <c r="N8" s="36">
        <f>IF(AND(N5&gt;=DATE(2024,2,1),N5&lt;DATE(2029,2,1)),I8,0)</f>
        <v/>
      </c>
      <c r="O8" s="36">
        <f>IF(AND(O5&gt;=DATE(2024,2,1),O5&lt;DATE(2029,2,1)),I8,0)</f>
        <v/>
      </c>
      <c r="P8" s="36">
        <f>IF(AND(P5&gt;=DATE(2024,2,1),P5&lt;DATE(2029,2,1)),I8,0)</f>
        <v/>
      </c>
      <c r="Q8" s="36">
        <f>IF(AND(Q5&gt;=DATE(2024,2,1),Q5&lt;DATE(2029,2,1)),I8,0)</f>
        <v/>
      </c>
      <c r="R8" s="36">
        <f>IF(AND(R5&gt;=DATE(2024,2,1),R5&lt;DATE(2029,2,1)),I8,0)</f>
        <v/>
      </c>
      <c r="S8" s="36">
        <f>IF(AND(S5&gt;=DATE(2024,2,1),S5&lt;DATE(2029,2,1)),I8,0)</f>
        <v/>
      </c>
      <c r="T8" s="36">
        <f>IF(AND(T5&gt;=DATE(2024,2,1),T5&lt;DATE(2029,2,1)),I8,0)</f>
        <v/>
      </c>
      <c r="U8" s="36">
        <f>IF(AND(U5&gt;=DATE(2024,2,1),U5&lt;DATE(2029,2,1)),I8,0)</f>
        <v/>
      </c>
      <c r="V8" s="36">
        <f>IF(AND(V5&gt;=DATE(2024,2,1),V5&lt;DATE(2029,2,1)),I8,0)</f>
        <v/>
      </c>
      <c r="W8" s="30" t="n"/>
      <c r="X8" s="30" t="n"/>
      <c r="Y8" s="30" t="n"/>
      <c r="Z8" s="30" t="n"/>
      <c r="AA8" s="30" t="n"/>
      <c r="AB8" s="30" t="n"/>
      <c r="AC8" s="30" t="n"/>
      <c r="AD8" s="30" t="n"/>
      <c r="AE8" s="30" t="n"/>
      <c r="AF8" s="30" t="n"/>
      <c r="AG8" s="30" t="n"/>
      <c r="AH8" s="30" t="n"/>
      <c r="AI8" s="30" t="n"/>
      <c r="AJ8" s="30" t="n"/>
      <c r="AK8" s="30" t="n"/>
      <c r="AL8" s="30" t="n"/>
      <c r="AM8" s="30" t="n"/>
      <c r="AN8" s="30" t="n"/>
      <c r="AO8" s="30" t="n"/>
      <c r="AP8" s="30" t="n"/>
      <c r="AQ8" s="30" t="n"/>
      <c r="AR8" s="30" t="n"/>
      <c r="AS8" s="30" t="n"/>
      <c r="AT8" s="30" t="n"/>
      <c r="AU8" s="30" t="n"/>
      <c r="AV8" s="30" t="n"/>
      <c r="AW8" s="30" t="n"/>
      <c r="AX8" s="30" t="n"/>
      <c r="AY8" s="30" t="n"/>
      <c r="AZ8" s="30" t="n"/>
      <c r="BA8" s="30" t="n"/>
      <c r="BB8" s="30" t="n"/>
      <c r="BC8" s="30" t="n"/>
      <c r="BD8" s="30" t="n"/>
      <c r="BE8" s="30" t="n"/>
      <c r="BF8" s="30" t="n"/>
      <c r="BG8" s="30" t="n"/>
      <c r="BH8" s="30" t="n"/>
      <c r="BI8" s="30" t="n"/>
      <c r="BJ8" s="30" t="n"/>
      <c r="BK8" s="30" t="n"/>
      <c r="BL8" s="30" t="n"/>
      <c r="BM8" s="30" t="n"/>
      <c r="BN8" s="30" t="n"/>
      <c r="BO8" s="30" t="n"/>
      <c r="BP8" s="30" t="n"/>
      <c r="BQ8" s="30" t="n"/>
      <c r="BR8" s="30" t="n"/>
      <c r="BS8" s="30" t="n"/>
      <c r="BT8" s="30" t="n"/>
      <c r="BU8" s="30" t="n"/>
      <c r="BV8" s="30" t="n"/>
      <c r="BW8" s="30" t="n"/>
      <c r="BX8" s="30" t="n"/>
      <c r="BY8" s="30" t="n"/>
      <c r="BZ8" s="30" t="n"/>
      <c r="CA8" s="30" t="n"/>
      <c r="CB8" s="30" t="n"/>
      <c r="CC8" s="30" t="n"/>
      <c r="CD8" s="30" t="n"/>
      <c r="CE8" s="30" t="n"/>
      <c r="CF8" s="30" t="n"/>
      <c r="CG8" s="30" t="n"/>
      <c r="CH8" s="30" t="n"/>
      <c r="CI8" s="30" t="n"/>
      <c r="CJ8" s="30" t="n"/>
      <c r="CK8" s="30" t="n"/>
      <c r="CL8" s="30" t="n"/>
      <c r="CM8" s="30" t="n"/>
      <c r="CN8" s="30" t="n"/>
      <c r="CO8" s="30" t="n"/>
      <c r="CP8" s="30" t="n"/>
      <c r="CQ8" s="30" t="n"/>
      <c r="CR8" s="30" t="n"/>
      <c r="CS8" s="30" t="n"/>
      <c r="CT8" s="30" t="n"/>
      <c r="CU8" s="30" t="n"/>
      <c r="CV8" s="30" t="n"/>
      <c r="CW8" s="30" t="n"/>
      <c r="CX8" s="30" t="n"/>
      <c r="CY8" s="30" t="n"/>
      <c r="CZ8" s="30" t="n"/>
    </row>
    <row r="9">
      <c r="A9" s="2" t="n">
        <v>45352</v>
      </c>
      <c r="B9" t="inlineStr">
        <is>
          <t>Equipamento</t>
        </is>
      </c>
      <c r="C9" t="n">
        <v>58477.83119088988</v>
      </c>
      <c r="E9" s="30" t="n">
        <v>4</v>
      </c>
      <c r="F9" s="30" t="inlineStr">
        <is>
          <t>Equipamento</t>
        </is>
      </c>
      <c r="G9" s="36" t="n">
        <v>48439.4408353086</v>
      </c>
      <c r="H9" s="30" t="n">
        <v>3</v>
      </c>
      <c r="I9" s="36">
        <f>G9/(H9*12)</f>
        <v/>
      </c>
      <c r="J9" s="36">
        <f>IF(AND(J5&gt;=DATE(2024,3,1),J5&lt;DATE(2027,3,1)),I9,0)</f>
        <v/>
      </c>
      <c r="K9" s="36">
        <f>IF(AND(K5&gt;=DATE(2024,3,1),K5&lt;DATE(2027,3,1)),I9,0)</f>
        <v/>
      </c>
      <c r="L9" s="36">
        <f>IF(AND(L5&gt;=DATE(2024,3,1),L5&lt;DATE(2027,3,1)),I9,0)</f>
        <v/>
      </c>
      <c r="M9" s="36">
        <f>IF(AND(M5&gt;=DATE(2024,3,1),M5&lt;DATE(2027,3,1)),I9,0)</f>
        <v/>
      </c>
      <c r="N9" s="36">
        <f>IF(AND(N5&gt;=DATE(2024,3,1),N5&lt;DATE(2027,3,1)),I9,0)</f>
        <v/>
      </c>
      <c r="O9" s="36">
        <f>IF(AND(O5&gt;=DATE(2024,3,1),O5&lt;DATE(2027,3,1)),I9,0)</f>
        <v/>
      </c>
      <c r="P9" s="36">
        <f>IF(AND(P5&gt;=DATE(2024,3,1),P5&lt;DATE(2027,3,1)),I9,0)</f>
        <v/>
      </c>
      <c r="Q9" s="36">
        <f>IF(AND(Q5&gt;=DATE(2024,3,1),Q5&lt;DATE(2027,3,1)),I9,0)</f>
        <v/>
      </c>
      <c r="R9" s="36">
        <f>IF(AND(R5&gt;=DATE(2024,3,1),R5&lt;DATE(2027,3,1)),I9,0)</f>
        <v/>
      </c>
      <c r="S9" s="36">
        <f>IF(AND(S5&gt;=DATE(2024,3,1),S5&lt;DATE(2027,3,1)),I9,0)</f>
        <v/>
      </c>
      <c r="T9" s="36">
        <f>IF(AND(T5&gt;=DATE(2024,3,1),T5&lt;DATE(2027,3,1)),I9,0)</f>
        <v/>
      </c>
      <c r="U9" s="36">
        <f>IF(AND(U5&gt;=DATE(2024,3,1),U5&lt;DATE(2027,3,1)),I9,0)</f>
        <v/>
      </c>
      <c r="V9" s="36">
        <f>IF(AND(V5&gt;=DATE(2024,3,1),V5&lt;DATE(2027,3,1)),I9,0)</f>
        <v/>
      </c>
      <c r="W9" s="30" t="n"/>
      <c r="X9" s="30" t="n"/>
      <c r="Y9" s="30" t="n"/>
      <c r="Z9" s="30" t="n"/>
      <c r="AA9" s="30" t="n"/>
      <c r="AB9" s="30" t="n"/>
      <c r="AC9" s="30" t="n"/>
      <c r="AD9" s="30" t="n"/>
      <c r="AE9" s="30" t="n"/>
      <c r="AF9" s="30" t="n"/>
      <c r="AG9" s="30" t="n"/>
      <c r="AH9" s="30" t="n"/>
      <c r="AI9" s="30" t="n"/>
      <c r="AJ9" s="30" t="n"/>
      <c r="AK9" s="30" t="n"/>
      <c r="AL9" s="30" t="n"/>
      <c r="AM9" s="30" t="n"/>
      <c r="AN9" s="30" t="n"/>
      <c r="AO9" s="30" t="n"/>
      <c r="AP9" s="30" t="n"/>
      <c r="AQ9" s="30" t="n"/>
      <c r="AR9" s="30" t="n"/>
      <c r="AS9" s="30" t="n"/>
      <c r="AT9" s="30" t="n"/>
      <c r="AU9" s="30" t="n"/>
      <c r="AV9" s="30" t="n"/>
      <c r="AW9" s="30" t="n"/>
      <c r="AX9" s="30" t="n"/>
      <c r="AY9" s="30" t="n"/>
      <c r="AZ9" s="30" t="n"/>
      <c r="BA9" s="30" t="n"/>
      <c r="BB9" s="30" t="n"/>
      <c r="BC9" s="30" t="n"/>
      <c r="BD9" s="30" t="n"/>
      <c r="BE9" s="30" t="n"/>
      <c r="BF9" s="30" t="n"/>
      <c r="BG9" s="30" t="n"/>
      <c r="BH9" s="30" t="n"/>
      <c r="BI9" s="30" t="n"/>
      <c r="BJ9" s="30" t="n"/>
      <c r="BK9" s="30" t="n"/>
      <c r="BL9" s="30" t="n"/>
      <c r="BM9" s="30" t="n"/>
      <c r="BN9" s="30" t="n"/>
      <c r="BO9" s="30" t="n"/>
      <c r="BP9" s="30" t="n"/>
      <c r="BQ9" s="30" t="n"/>
      <c r="BR9" s="30" t="n"/>
      <c r="BS9" s="30" t="n"/>
      <c r="BT9" s="30" t="n"/>
      <c r="BU9" s="30" t="n"/>
      <c r="BV9" s="30" t="n"/>
      <c r="BW9" s="30" t="n"/>
      <c r="BX9" s="30" t="n"/>
      <c r="BY9" s="30" t="n"/>
      <c r="BZ9" s="30" t="n"/>
      <c r="CA9" s="30" t="n"/>
      <c r="CB9" s="30" t="n"/>
      <c r="CC9" s="30" t="n"/>
      <c r="CD9" s="30" t="n"/>
      <c r="CE9" s="30" t="n"/>
      <c r="CF9" s="30" t="n"/>
      <c r="CG9" s="30" t="n"/>
      <c r="CH9" s="30" t="n"/>
      <c r="CI9" s="30" t="n"/>
      <c r="CJ9" s="30" t="n"/>
      <c r="CK9" s="30" t="n"/>
      <c r="CL9" s="30" t="n"/>
      <c r="CM9" s="30" t="n"/>
      <c r="CN9" s="30" t="n"/>
      <c r="CO9" s="30" t="n"/>
      <c r="CP9" s="30" t="n"/>
      <c r="CQ9" s="30" t="n"/>
      <c r="CR9" s="30" t="n"/>
      <c r="CS9" s="30" t="n"/>
      <c r="CT9" s="30" t="n"/>
      <c r="CU9" s="30" t="n"/>
      <c r="CV9" s="30" t="n"/>
      <c r="CW9" s="30" t="n"/>
      <c r="CX9" s="30" t="n"/>
      <c r="CY9" s="30" t="n"/>
      <c r="CZ9" s="30" t="n"/>
    </row>
    <row r="10">
      <c r="A10" s="2" t="n">
        <v>45352</v>
      </c>
      <c r="B10" t="inlineStr">
        <is>
          <t>Equipamento</t>
        </is>
      </c>
      <c r="C10" t="n">
        <v>71386.0420724182</v>
      </c>
      <c r="E10" s="30" t="n">
        <v>5</v>
      </c>
      <c r="F10" s="30" t="inlineStr">
        <is>
          <t>Equipamento</t>
        </is>
      </c>
      <c r="G10" s="36" t="n">
        <v>83535.78650216677</v>
      </c>
      <c r="H10" s="30" t="n">
        <v>3</v>
      </c>
      <c r="I10" s="36">
        <f>G10/(H10*12)</f>
        <v/>
      </c>
      <c r="J10" s="36">
        <f>IF(AND(J5&gt;=DATE(2024,3,1),J5&lt;DATE(2027,3,1)),I10,0)</f>
        <v/>
      </c>
      <c r="K10" s="36">
        <f>IF(AND(K5&gt;=DATE(2024,3,1),K5&lt;DATE(2027,3,1)),I10,0)</f>
        <v/>
      </c>
      <c r="L10" s="36">
        <f>IF(AND(L5&gt;=DATE(2024,3,1),L5&lt;DATE(2027,3,1)),I10,0)</f>
        <v/>
      </c>
      <c r="M10" s="36">
        <f>IF(AND(M5&gt;=DATE(2024,3,1),M5&lt;DATE(2027,3,1)),I10,0)</f>
        <v/>
      </c>
      <c r="N10" s="36">
        <f>IF(AND(N5&gt;=DATE(2024,3,1),N5&lt;DATE(2027,3,1)),I10,0)</f>
        <v/>
      </c>
      <c r="O10" s="36">
        <f>IF(AND(O5&gt;=DATE(2024,3,1),O5&lt;DATE(2027,3,1)),I10,0)</f>
        <v/>
      </c>
      <c r="P10" s="36">
        <f>IF(AND(P5&gt;=DATE(2024,3,1),P5&lt;DATE(2027,3,1)),I10,0)</f>
        <v/>
      </c>
      <c r="Q10" s="36">
        <f>IF(AND(Q5&gt;=DATE(2024,3,1),Q5&lt;DATE(2027,3,1)),I10,0)</f>
        <v/>
      </c>
      <c r="R10" s="36">
        <f>IF(AND(R5&gt;=DATE(2024,3,1),R5&lt;DATE(2027,3,1)),I10,0)</f>
        <v/>
      </c>
      <c r="S10" s="36">
        <f>IF(AND(S5&gt;=DATE(2024,3,1),S5&lt;DATE(2027,3,1)),I10,0)</f>
        <v/>
      </c>
      <c r="T10" s="36">
        <f>IF(AND(T5&gt;=DATE(2024,3,1),T5&lt;DATE(2027,3,1)),I10,0)</f>
        <v/>
      </c>
      <c r="U10" s="36">
        <f>IF(AND(U5&gt;=DATE(2024,3,1),U5&lt;DATE(2027,3,1)),I10,0)</f>
        <v/>
      </c>
      <c r="V10" s="36">
        <f>IF(AND(V5&gt;=DATE(2024,3,1),V5&lt;DATE(2027,3,1)),I10,0)</f>
        <v/>
      </c>
      <c r="W10" s="30" t="n"/>
      <c r="X10" s="30" t="n"/>
      <c r="Y10" s="30" t="n"/>
      <c r="Z10" s="30" t="n"/>
      <c r="AA10" s="30" t="n"/>
      <c r="AB10" s="30" t="n"/>
      <c r="AC10" s="30" t="n"/>
      <c r="AD10" s="30" t="n"/>
      <c r="AE10" s="30" t="n"/>
      <c r="AF10" s="30" t="n"/>
      <c r="AG10" s="30" t="n"/>
      <c r="AH10" s="30" t="n"/>
      <c r="AI10" s="30" t="n"/>
      <c r="AJ10" s="30" t="n"/>
      <c r="AK10" s="30" t="n"/>
      <c r="AL10" s="30" t="n"/>
      <c r="AM10" s="30" t="n"/>
      <c r="AN10" s="30" t="n"/>
      <c r="AO10" s="30" t="n"/>
      <c r="AP10" s="30" t="n"/>
      <c r="AQ10" s="30" t="n"/>
      <c r="AR10" s="30" t="n"/>
      <c r="AS10" s="30" t="n"/>
      <c r="AT10" s="30" t="n"/>
      <c r="AU10" s="30" t="n"/>
      <c r="AV10" s="30" t="n"/>
      <c r="AW10" s="30" t="n"/>
      <c r="AX10" s="30" t="n"/>
      <c r="AY10" s="30" t="n"/>
      <c r="AZ10" s="30" t="n"/>
      <c r="BA10" s="30" t="n"/>
      <c r="BB10" s="30" t="n"/>
      <c r="BC10" s="30" t="n"/>
      <c r="BD10" s="30" t="n"/>
      <c r="BE10" s="30" t="n"/>
      <c r="BF10" s="30" t="n"/>
      <c r="BG10" s="30" t="n"/>
      <c r="BH10" s="30" t="n"/>
      <c r="BI10" s="30" t="n"/>
      <c r="BJ10" s="30" t="n"/>
      <c r="BK10" s="30" t="n"/>
      <c r="BL10" s="30" t="n"/>
      <c r="BM10" s="30" t="n"/>
      <c r="BN10" s="30" t="n"/>
      <c r="BO10" s="30" t="n"/>
      <c r="BP10" s="30" t="n"/>
      <c r="BQ10" s="30" t="n"/>
      <c r="BR10" s="30" t="n"/>
      <c r="BS10" s="30" t="n"/>
      <c r="BT10" s="30" t="n"/>
      <c r="BU10" s="30" t="n"/>
      <c r="BV10" s="30" t="n"/>
      <c r="BW10" s="30" t="n"/>
      <c r="BX10" s="30" t="n"/>
      <c r="BY10" s="30" t="n"/>
      <c r="BZ10" s="30" t="n"/>
      <c r="CA10" s="30" t="n"/>
      <c r="CB10" s="30" t="n"/>
      <c r="CC10" s="30" t="n"/>
      <c r="CD10" s="30" t="n"/>
      <c r="CE10" s="30" t="n"/>
      <c r="CF10" s="30" t="n"/>
      <c r="CG10" s="30" t="n"/>
      <c r="CH10" s="30" t="n"/>
      <c r="CI10" s="30" t="n"/>
      <c r="CJ10" s="30" t="n"/>
      <c r="CK10" s="30" t="n"/>
      <c r="CL10" s="30" t="n"/>
      <c r="CM10" s="30" t="n"/>
      <c r="CN10" s="30" t="n"/>
      <c r="CO10" s="30" t="n"/>
      <c r="CP10" s="30" t="n"/>
      <c r="CQ10" s="30" t="n"/>
      <c r="CR10" s="30" t="n"/>
      <c r="CS10" s="30" t="n"/>
      <c r="CT10" s="30" t="n"/>
      <c r="CU10" s="30" t="n"/>
      <c r="CV10" s="30" t="n"/>
      <c r="CW10" s="30" t="n"/>
      <c r="CX10" s="30" t="n"/>
      <c r="CY10" s="30" t="n"/>
      <c r="CZ10" s="30" t="n"/>
    </row>
    <row r="11">
      <c r="A11" s="2" t="n">
        <v>45383</v>
      </c>
      <c r="B11" t="inlineStr">
        <is>
          <t>Equipamento</t>
        </is>
      </c>
      <c r="C11" t="n">
        <v>25188.28755863747</v>
      </c>
      <c r="E11" s="30" t="n">
        <v>6</v>
      </c>
      <c r="F11" s="30" t="inlineStr">
        <is>
          <t>Equipamento</t>
        </is>
      </c>
      <c r="G11" s="36" t="n">
        <v>27439.25118585057</v>
      </c>
      <c r="H11" s="30" t="n">
        <v>3</v>
      </c>
      <c r="I11" s="36">
        <f>G11/(H11*12)</f>
        <v/>
      </c>
      <c r="J11" s="36">
        <f>IF(AND(J5&gt;=DATE(2024,3,1),J5&lt;DATE(2027,3,1)),I11,0)</f>
        <v/>
      </c>
      <c r="K11" s="36">
        <f>IF(AND(K5&gt;=DATE(2024,3,1),K5&lt;DATE(2027,3,1)),I11,0)</f>
        <v/>
      </c>
      <c r="L11" s="36">
        <f>IF(AND(L5&gt;=DATE(2024,3,1),L5&lt;DATE(2027,3,1)),I11,0)</f>
        <v/>
      </c>
      <c r="M11" s="36">
        <f>IF(AND(M5&gt;=DATE(2024,3,1),M5&lt;DATE(2027,3,1)),I11,0)</f>
        <v/>
      </c>
      <c r="N11" s="36">
        <f>IF(AND(N5&gt;=DATE(2024,3,1),N5&lt;DATE(2027,3,1)),I11,0)</f>
        <v/>
      </c>
      <c r="O11" s="36">
        <f>IF(AND(O5&gt;=DATE(2024,3,1),O5&lt;DATE(2027,3,1)),I11,0)</f>
        <v/>
      </c>
      <c r="P11" s="36">
        <f>IF(AND(P5&gt;=DATE(2024,3,1),P5&lt;DATE(2027,3,1)),I11,0)</f>
        <v/>
      </c>
      <c r="Q11" s="36">
        <f>IF(AND(Q5&gt;=DATE(2024,3,1),Q5&lt;DATE(2027,3,1)),I11,0)</f>
        <v/>
      </c>
      <c r="R11" s="36">
        <f>IF(AND(R5&gt;=DATE(2024,3,1),R5&lt;DATE(2027,3,1)),I11,0)</f>
        <v/>
      </c>
      <c r="S11" s="36">
        <f>IF(AND(S5&gt;=DATE(2024,3,1),S5&lt;DATE(2027,3,1)),I11,0)</f>
        <v/>
      </c>
      <c r="T11" s="36">
        <f>IF(AND(T5&gt;=DATE(2024,3,1),T5&lt;DATE(2027,3,1)),I11,0)</f>
        <v/>
      </c>
      <c r="U11" s="36">
        <f>IF(AND(U5&gt;=DATE(2024,3,1),U5&lt;DATE(2027,3,1)),I11,0)</f>
        <v/>
      </c>
      <c r="V11" s="36">
        <f>IF(AND(V5&gt;=DATE(2024,3,1),V5&lt;DATE(2027,3,1)),I11,0)</f>
        <v/>
      </c>
      <c r="W11" s="30" t="n"/>
      <c r="X11" s="30" t="n"/>
      <c r="Y11" s="30" t="n"/>
      <c r="Z11" s="30" t="n"/>
      <c r="AA11" s="30" t="n"/>
      <c r="AB11" s="30" t="n"/>
      <c r="AC11" s="30" t="n"/>
      <c r="AD11" s="30" t="n"/>
      <c r="AE11" s="30" t="n"/>
      <c r="AF11" s="30" t="n"/>
      <c r="AG11" s="30" t="n"/>
      <c r="AH11" s="30" t="n"/>
      <c r="AI11" s="30" t="n"/>
      <c r="AJ11" s="30" t="n"/>
      <c r="AK11" s="30" t="n"/>
      <c r="AL11" s="30" t="n"/>
      <c r="AM11" s="30" t="n"/>
      <c r="AN11" s="30" t="n"/>
      <c r="AO11" s="30" t="n"/>
      <c r="AP11" s="30" t="n"/>
      <c r="AQ11" s="30" t="n"/>
      <c r="AR11" s="30" t="n"/>
      <c r="AS11" s="30" t="n"/>
      <c r="AT11" s="30" t="n"/>
      <c r="AU11" s="30" t="n"/>
      <c r="AV11" s="30" t="n"/>
      <c r="AW11" s="30" t="n"/>
      <c r="AX11" s="30" t="n"/>
      <c r="AY11" s="30" t="n"/>
      <c r="AZ11" s="30" t="n"/>
      <c r="BA11" s="30" t="n"/>
      <c r="BB11" s="30" t="n"/>
      <c r="BC11" s="30" t="n"/>
      <c r="BD11" s="30" t="n"/>
      <c r="BE11" s="30" t="n"/>
      <c r="BF11" s="30" t="n"/>
      <c r="BG11" s="30" t="n"/>
      <c r="BH11" s="30" t="n"/>
      <c r="BI11" s="30" t="n"/>
      <c r="BJ11" s="30" t="n"/>
      <c r="BK11" s="30" t="n"/>
      <c r="BL11" s="30" t="n"/>
      <c r="BM11" s="30" t="n"/>
      <c r="BN11" s="30" t="n"/>
      <c r="BO11" s="30" t="n"/>
      <c r="BP11" s="30" t="n"/>
      <c r="BQ11" s="30" t="n"/>
      <c r="BR11" s="30" t="n"/>
      <c r="BS11" s="30" t="n"/>
      <c r="BT11" s="30" t="n"/>
      <c r="BU11" s="30" t="n"/>
      <c r="BV11" s="30" t="n"/>
      <c r="BW11" s="30" t="n"/>
      <c r="BX11" s="30" t="n"/>
      <c r="BY11" s="30" t="n"/>
      <c r="BZ11" s="30" t="n"/>
      <c r="CA11" s="30" t="n"/>
      <c r="CB11" s="30" t="n"/>
      <c r="CC11" s="30" t="n"/>
      <c r="CD11" s="30" t="n"/>
      <c r="CE11" s="30" t="n"/>
      <c r="CF11" s="30" t="n"/>
      <c r="CG11" s="30" t="n"/>
      <c r="CH11" s="30" t="n"/>
      <c r="CI11" s="30" t="n"/>
      <c r="CJ11" s="30" t="n"/>
      <c r="CK11" s="30" t="n"/>
      <c r="CL11" s="30" t="n"/>
      <c r="CM11" s="30" t="n"/>
      <c r="CN11" s="30" t="n"/>
      <c r="CO11" s="30" t="n"/>
      <c r="CP11" s="30" t="n"/>
      <c r="CQ11" s="30" t="n"/>
      <c r="CR11" s="30" t="n"/>
      <c r="CS11" s="30" t="n"/>
      <c r="CT11" s="30" t="n"/>
      <c r="CU11" s="30" t="n"/>
      <c r="CV11" s="30" t="n"/>
      <c r="CW11" s="30" t="n"/>
      <c r="CX11" s="30" t="n"/>
      <c r="CY11" s="30" t="n"/>
      <c r="CZ11" s="30" t="n"/>
    </row>
    <row r="12">
      <c r="A12" s="2" t="n">
        <v>45383</v>
      </c>
      <c r="B12" t="inlineStr">
        <is>
          <t>Equipamento</t>
        </is>
      </c>
      <c r="C12" t="n">
        <v>66398.70299425052</v>
      </c>
      <c r="E12" s="30" t="n">
        <v>7</v>
      </c>
      <c r="F12" s="30" t="inlineStr">
        <is>
          <t>Equipamento</t>
        </is>
      </c>
      <c r="G12" s="36" t="n">
        <v>67056.18135587125</v>
      </c>
      <c r="H12" s="30" t="n">
        <v>3</v>
      </c>
      <c r="I12" s="36">
        <f>G12/(H12*12)</f>
        <v/>
      </c>
      <c r="J12" s="36">
        <f>IF(AND(J5&gt;=DATE(2024,4,1),J5&lt;DATE(2027,4,1)),I12,0)</f>
        <v/>
      </c>
      <c r="K12" s="36">
        <f>IF(AND(K5&gt;=DATE(2024,4,1),K5&lt;DATE(2027,4,1)),I12,0)</f>
        <v/>
      </c>
      <c r="L12" s="36">
        <f>IF(AND(L5&gt;=DATE(2024,4,1),L5&lt;DATE(2027,4,1)),I12,0)</f>
        <v/>
      </c>
      <c r="M12" s="36">
        <f>IF(AND(M5&gt;=DATE(2024,4,1),M5&lt;DATE(2027,4,1)),I12,0)</f>
        <v/>
      </c>
      <c r="N12" s="36">
        <f>IF(AND(N5&gt;=DATE(2024,4,1),N5&lt;DATE(2027,4,1)),I12,0)</f>
        <v/>
      </c>
      <c r="O12" s="36">
        <f>IF(AND(O5&gt;=DATE(2024,4,1),O5&lt;DATE(2027,4,1)),I12,0)</f>
        <v/>
      </c>
      <c r="P12" s="36">
        <f>IF(AND(P5&gt;=DATE(2024,4,1),P5&lt;DATE(2027,4,1)),I12,0)</f>
        <v/>
      </c>
      <c r="Q12" s="36">
        <f>IF(AND(Q5&gt;=DATE(2024,4,1),Q5&lt;DATE(2027,4,1)),I12,0)</f>
        <v/>
      </c>
      <c r="R12" s="36">
        <f>IF(AND(R5&gt;=DATE(2024,4,1),R5&lt;DATE(2027,4,1)),I12,0)</f>
        <v/>
      </c>
      <c r="S12" s="36">
        <f>IF(AND(S5&gt;=DATE(2024,4,1),S5&lt;DATE(2027,4,1)),I12,0)</f>
        <v/>
      </c>
      <c r="T12" s="36">
        <f>IF(AND(T5&gt;=DATE(2024,4,1),T5&lt;DATE(2027,4,1)),I12,0)</f>
        <v/>
      </c>
      <c r="U12" s="36">
        <f>IF(AND(U5&gt;=DATE(2024,4,1),U5&lt;DATE(2027,4,1)),I12,0)</f>
        <v/>
      </c>
      <c r="V12" s="36">
        <f>IF(AND(V5&gt;=DATE(2024,4,1),V5&lt;DATE(2027,4,1)),I12,0)</f>
        <v/>
      </c>
      <c r="W12" s="30" t="n"/>
      <c r="X12" s="30" t="n"/>
      <c r="Y12" s="30" t="n"/>
      <c r="Z12" s="30" t="n"/>
      <c r="AA12" s="30" t="n"/>
      <c r="AB12" s="30" t="n"/>
      <c r="AC12" s="30" t="n"/>
      <c r="AD12" s="30" t="n"/>
      <c r="AE12" s="30" t="n"/>
      <c r="AF12" s="30" t="n"/>
      <c r="AG12" s="30" t="n"/>
      <c r="AH12" s="30" t="n"/>
      <c r="AI12" s="30" t="n"/>
      <c r="AJ12" s="30" t="n"/>
      <c r="AK12" s="30" t="n"/>
      <c r="AL12" s="30" t="n"/>
      <c r="AM12" s="30" t="n"/>
      <c r="AN12" s="30" t="n"/>
      <c r="AO12" s="30" t="n"/>
      <c r="AP12" s="30" t="n"/>
      <c r="AQ12" s="30" t="n"/>
      <c r="AR12" s="30" t="n"/>
      <c r="AS12" s="30" t="n"/>
      <c r="AT12" s="30" t="n"/>
      <c r="AU12" s="30" t="n"/>
      <c r="AV12" s="30" t="n"/>
      <c r="AW12" s="30" t="n"/>
      <c r="AX12" s="30" t="n"/>
      <c r="AY12" s="30" t="n"/>
      <c r="AZ12" s="30" t="n"/>
      <c r="BA12" s="30" t="n"/>
      <c r="BB12" s="30" t="n"/>
      <c r="BC12" s="30" t="n"/>
      <c r="BD12" s="30" t="n"/>
      <c r="BE12" s="30" t="n"/>
      <c r="BF12" s="30" t="n"/>
      <c r="BG12" s="30" t="n"/>
      <c r="BH12" s="30" t="n"/>
      <c r="BI12" s="30" t="n"/>
      <c r="BJ12" s="30" t="n"/>
      <c r="BK12" s="30" t="n"/>
      <c r="BL12" s="30" t="n"/>
      <c r="BM12" s="30" t="n"/>
      <c r="BN12" s="30" t="n"/>
      <c r="BO12" s="30" t="n"/>
      <c r="BP12" s="30" t="n"/>
      <c r="BQ12" s="30" t="n"/>
      <c r="BR12" s="30" t="n"/>
      <c r="BS12" s="30" t="n"/>
      <c r="BT12" s="30" t="n"/>
      <c r="BU12" s="30" t="n"/>
      <c r="BV12" s="30" t="n"/>
      <c r="BW12" s="30" t="n"/>
      <c r="BX12" s="30" t="n"/>
      <c r="BY12" s="30" t="n"/>
      <c r="BZ12" s="30" t="n"/>
      <c r="CA12" s="30" t="n"/>
      <c r="CB12" s="30" t="n"/>
      <c r="CC12" s="30" t="n"/>
      <c r="CD12" s="30" t="n"/>
      <c r="CE12" s="30" t="n"/>
      <c r="CF12" s="30" t="n"/>
      <c r="CG12" s="30" t="n"/>
      <c r="CH12" s="30" t="n"/>
      <c r="CI12" s="30" t="n"/>
      <c r="CJ12" s="30" t="n"/>
      <c r="CK12" s="30" t="n"/>
      <c r="CL12" s="30" t="n"/>
      <c r="CM12" s="30" t="n"/>
      <c r="CN12" s="30" t="n"/>
      <c r="CO12" s="30" t="n"/>
      <c r="CP12" s="30" t="n"/>
      <c r="CQ12" s="30" t="n"/>
      <c r="CR12" s="30" t="n"/>
      <c r="CS12" s="30" t="n"/>
      <c r="CT12" s="30" t="n"/>
      <c r="CU12" s="30" t="n"/>
      <c r="CV12" s="30" t="n"/>
      <c r="CW12" s="30" t="n"/>
      <c r="CX12" s="30" t="n"/>
      <c r="CY12" s="30" t="n"/>
      <c r="CZ12" s="30" t="n"/>
    </row>
    <row r="13">
      <c r="A13" s="2" t="n">
        <v>45383</v>
      </c>
      <c r="B13" t="inlineStr">
        <is>
          <t>Equipamento</t>
        </is>
      </c>
      <c r="C13" t="n">
        <v>64918.76703676193</v>
      </c>
      <c r="E13" s="30" t="n">
        <v>8</v>
      </c>
      <c r="F13" s="30" t="inlineStr">
        <is>
          <t>Equipamento</t>
        </is>
      </c>
      <c r="G13" s="36" t="n">
        <v>58477.83119088988</v>
      </c>
      <c r="H13" s="30" t="n">
        <v>3</v>
      </c>
      <c r="I13" s="36">
        <f>G13/(H13*12)</f>
        <v/>
      </c>
      <c r="J13" s="36">
        <f>IF(AND(J5&gt;=DATE(2024,4,1),J5&lt;DATE(2027,4,1)),I13,0)</f>
        <v/>
      </c>
      <c r="K13" s="36">
        <f>IF(AND(K5&gt;=DATE(2024,4,1),K5&lt;DATE(2027,4,1)),I13,0)</f>
        <v/>
      </c>
      <c r="L13" s="36">
        <f>IF(AND(L5&gt;=DATE(2024,4,1),L5&lt;DATE(2027,4,1)),I13,0)</f>
        <v/>
      </c>
      <c r="M13" s="36">
        <f>IF(AND(M5&gt;=DATE(2024,4,1),M5&lt;DATE(2027,4,1)),I13,0)</f>
        <v/>
      </c>
      <c r="N13" s="36">
        <f>IF(AND(N5&gt;=DATE(2024,4,1),N5&lt;DATE(2027,4,1)),I13,0)</f>
        <v/>
      </c>
      <c r="O13" s="36">
        <f>IF(AND(O5&gt;=DATE(2024,4,1),O5&lt;DATE(2027,4,1)),I13,0)</f>
        <v/>
      </c>
      <c r="P13" s="36">
        <f>IF(AND(P5&gt;=DATE(2024,4,1),P5&lt;DATE(2027,4,1)),I13,0)</f>
        <v/>
      </c>
      <c r="Q13" s="36">
        <f>IF(AND(Q5&gt;=DATE(2024,4,1),Q5&lt;DATE(2027,4,1)),I13,0)</f>
        <v/>
      </c>
      <c r="R13" s="36">
        <f>IF(AND(R5&gt;=DATE(2024,4,1),R5&lt;DATE(2027,4,1)),I13,0)</f>
        <v/>
      </c>
      <c r="S13" s="36">
        <f>IF(AND(S5&gt;=DATE(2024,4,1),S5&lt;DATE(2027,4,1)),I13,0)</f>
        <v/>
      </c>
      <c r="T13" s="36">
        <f>IF(AND(T5&gt;=DATE(2024,4,1),T5&lt;DATE(2027,4,1)),I13,0)</f>
        <v/>
      </c>
      <c r="U13" s="36">
        <f>IF(AND(U5&gt;=DATE(2024,4,1),U5&lt;DATE(2027,4,1)),I13,0)</f>
        <v/>
      </c>
      <c r="V13" s="36">
        <f>IF(AND(V5&gt;=DATE(2024,4,1),V5&lt;DATE(2027,4,1)),I13,0)</f>
        <v/>
      </c>
      <c r="W13" s="30" t="n"/>
      <c r="X13" s="30" t="n"/>
      <c r="Y13" s="30" t="n"/>
      <c r="Z13" s="30" t="n"/>
      <c r="AA13" s="30" t="n"/>
      <c r="AB13" s="30" t="n"/>
      <c r="AC13" s="30" t="n"/>
      <c r="AD13" s="30" t="n"/>
      <c r="AE13" s="30" t="n"/>
      <c r="AF13" s="30" t="n"/>
      <c r="AG13" s="30" t="n"/>
      <c r="AH13" s="30" t="n"/>
      <c r="AI13" s="30" t="n"/>
      <c r="AJ13" s="30" t="n"/>
      <c r="AK13" s="30" t="n"/>
      <c r="AL13" s="30" t="n"/>
      <c r="AM13" s="30" t="n"/>
      <c r="AN13" s="30" t="n"/>
      <c r="AO13" s="30" t="n"/>
      <c r="AP13" s="30" t="n"/>
      <c r="AQ13" s="30" t="n"/>
      <c r="AR13" s="30" t="n"/>
      <c r="AS13" s="30" t="n"/>
      <c r="AT13" s="30" t="n"/>
      <c r="AU13" s="30" t="n"/>
      <c r="AV13" s="30" t="n"/>
      <c r="AW13" s="30" t="n"/>
      <c r="AX13" s="30" t="n"/>
      <c r="AY13" s="30" t="n"/>
      <c r="AZ13" s="30" t="n"/>
      <c r="BA13" s="30" t="n"/>
      <c r="BB13" s="30" t="n"/>
      <c r="BC13" s="30" t="n"/>
      <c r="BD13" s="30" t="n"/>
      <c r="BE13" s="30" t="n"/>
      <c r="BF13" s="30" t="n"/>
      <c r="BG13" s="30" t="n"/>
      <c r="BH13" s="30" t="n"/>
      <c r="BI13" s="30" t="n"/>
      <c r="BJ13" s="30" t="n"/>
      <c r="BK13" s="30" t="n"/>
      <c r="BL13" s="30" t="n"/>
      <c r="BM13" s="30" t="n"/>
      <c r="BN13" s="30" t="n"/>
      <c r="BO13" s="30" t="n"/>
      <c r="BP13" s="30" t="n"/>
      <c r="BQ13" s="30" t="n"/>
      <c r="BR13" s="30" t="n"/>
      <c r="BS13" s="30" t="n"/>
      <c r="BT13" s="30" t="n"/>
      <c r="BU13" s="30" t="n"/>
      <c r="BV13" s="30" t="n"/>
      <c r="BW13" s="30" t="n"/>
      <c r="BX13" s="30" t="n"/>
      <c r="BY13" s="30" t="n"/>
      <c r="BZ13" s="30" t="n"/>
      <c r="CA13" s="30" t="n"/>
      <c r="CB13" s="30" t="n"/>
      <c r="CC13" s="30" t="n"/>
      <c r="CD13" s="30" t="n"/>
      <c r="CE13" s="30" t="n"/>
      <c r="CF13" s="30" t="n"/>
      <c r="CG13" s="30" t="n"/>
      <c r="CH13" s="30" t="n"/>
      <c r="CI13" s="30" t="n"/>
      <c r="CJ13" s="30" t="n"/>
      <c r="CK13" s="30" t="n"/>
      <c r="CL13" s="30" t="n"/>
      <c r="CM13" s="30" t="n"/>
      <c r="CN13" s="30" t="n"/>
      <c r="CO13" s="30" t="n"/>
      <c r="CP13" s="30" t="n"/>
      <c r="CQ13" s="30" t="n"/>
      <c r="CR13" s="30" t="n"/>
      <c r="CS13" s="30" t="n"/>
      <c r="CT13" s="30" t="n"/>
      <c r="CU13" s="30" t="n"/>
      <c r="CV13" s="30" t="n"/>
      <c r="CW13" s="30" t="n"/>
      <c r="CX13" s="30" t="n"/>
      <c r="CY13" s="30" t="n"/>
      <c r="CZ13" s="30" t="n"/>
    </row>
    <row r="14">
      <c r="A14" s="2" t="n"/>
      <c r="E14" s="30" t="n">
        <v>9</v>
      </c>
      <c r="F14" s="30" t="inlineStr">
        <is>
          <t>Equipamento</t>
        </is>
      </c>
      <c r="G14" s="36" t="n">
        <v>71386.0420724182</v>
      </c>
      <c r="H14" s="30" t="n">
        <v>3</v>
      </c>
      <c r="I14" s="36">
        <f>G14/(H14*12)</f>
        <v/>
      </c>
      <c r="J14" s="36">
        <f>IF(AND(J5&gt;=DATE(2024,4,1),J5&lt;DATE(2027,4,1)),I14,0)</f>
        <v/>
      </c>
      <c r="K14" s="36">
        <f>IF(AND(K5&gt;=DATE(2024,4,1),K5&lt;DATE(2027,4,1)),I14,0)</f>
        <v/>
      </c>
      <c r="L14" s="36">
        <f>IF(AND(L5&gt;=DATE(2024,4,1),L5&lt;DATE(2027,4,1)),I14,0)</f>
        <v/>
      </c>
      <c r="M14" s="36">
        <f>IF(AND(M5&gt;=DATE(2024,4,1),M5&lt;DATE(2027,4,1)),I14,0)</f>
        <v/>
      </c>
      <c r="N14" s="36">
        <f>IF(AND(N5&gt;=DATE(2024,4,1),N5&lt;DATE(2027,4,1)),I14,0)</f>
        <v/>
      </c>
      <c r="O14" s="36">
        <f>IF(AND(O5&gt;=DATE(2024,4,1),O5&lt;DATE(2027,4,1)),I14,0)</f>
        <v/>
      </c>
      <c r="P14" s="36">
        <f>IF(AND(P5&gt;=DATE(2024,4,1),P5&lt;DATE(2027,4,1)),I14,0)</f>
        <v/>
      </c>
      <c r="Q14" s="36">
        <f>IF(AND(Q5&gt;=DATE(2024,4,1),Q5&lt;DATE(2027,4,1)),I14,0)</f>
        <v/>
      </c>
      <c r="R14" s="36">
        <f>IF(AND(R5&gt;=DATE(2024,4,1),R5&lt;DATE(2027,4,1)),I14,0)</f>
        <v/>
      </c>
      <c r="S14" s="36">
        <f>IF(AND(S5&gt;=DATE(2024,4,1),S5&lt;DATE(2027,4,1)),I14,0)</f>
        <v/>
      </c>
      <c r="T14" s="36">
        <f>IF(AND(T5&gt;=DATE(2024,4,1),T5&lt;DATE(2027,4,1)),I14,0)</f>
        <v/>
      </c>
      <c r="U14" s="36">
        <f>IF(AND(U5&gt;=DATE(2024,4,1),U5&lt;DATE(2027,4,1)),I14,0)</f>
        <v/>
      </c>
      <c r="V14" s="36">
        <f>IF(AND(V5&gt;=DATE(2024,4,1),V5&lt;DATE(2027,4,1)),I14,0)</f>
        <v/>
      </c>
      <c r="W14" s="30" t="n"/>
      <c r="X14" s="30" t="n"/>
      <c r="Y14" s="30" t="n"/>
      <c r="Z14" s="30" t="n"/>
      <c r="AA14" s="30" t="n"/>
      <c r="AB14" s="30" t="n"/>
      <c r="AC14" s="30" t="n"/>
      <c r="AD14" s="30" t="n"/>
      <c r="AE14" s="30" t="n"/>
      <c r="AF14" s="30" t="n"/>
      <c r="AG14" s="30" t="n"/>
      <c r="AH14" s="30" t="n"/>
      <c r="AI14" s="30" t="n"/>
      <c r="AJ14" s="30" t="n"/>
      <c r="AK14" s="30" t="n"/>
      <c r="AL14" s="30" t="n"/>
      <c r="AM14" s="30" t="n"/>
      <c r="AN14" s="30" t="n"/>
      <c r="AO14" s="30" t="n"/>
      <c r="AP14" s="30" t="n"/>
      <c r="AQ14" s="30" t="n"/>
      <c r="AR14" s="30" t="n"/>
      <c r="AS14" s="30" t="n"/>
      <c r="AT14" s="30" t="n"/>
      <c r="AU14" s="30" t="n"/>
      <c r="AV14" s="30" t="n"/>
      <c r="AW14" s="30" t="n"/>
      <c r="AX14" s="30" t="n"/>
      <c r="AY14" s="30" t="n"/>
      <c r="AZ14" s="30" t="n"/>
      <c r="BA14" s="30" t="n"/>
      <c r="BB14" s="30" t="n"/>
      <c r="BC14" s="30" t="n"/>
      <c r="BD14" s="30" t="n"/>
      <c r="BE14" s="30" t="n"/>
      <c r="BF14" s="30" t="n"/>
      <c r="BG14" s="30" t="n"/>
      <c r="BH14" s="30" t="n"/>
      <c r="BI14" s="30" t="n"/>
      <c r="BJ14" s="30" t="n"/>
      <c r="BK14" s="30" t="n"/>
      <c r="BL14" s="30" t="n"/>
      <c r="BM14" s="30" t="n"/>
      <c r="BN14" s="30" t="n"/>
      <c r="BO14" s="30" t="n"/>
      <c r="BP14" s="30" t="n"/>
      <c r="BQ14" s="30" t="n"/>
      <c r="BR14" s="30" t="n"/>
      <c r="BS14" s="30" t="n"/>
      <c r="BT14" s="30" t="n"/>
      <c r="BU14" s="30" t="n"/>
      <c r="BV14" s="30" t="n"/>
      <c r="BW14" s="30" t="n"/>
      <c r="BX14" s="30" t="n"/>
      <c r="BY14" s="30" t="n"/>
      <c r="BZ14" s="30" t="n"/>
      <c r="CA14" s="30" t="n"/>
      <c r="CB14" s="30" t="n"/>
      <c r="CC14" s="30" t="n"/>
      <c r="CD14" s="30" t="n"/>
      <c r="CE14" s="30" t="n"/>
      <c r="CF14" s="30" t="n"/>
      <c r="CG14" s="30" t="n"/>
      <c r="CH14" s="30" t="n"/>
      <c r="CI14" s="30" t="n"/>
      <c r="CJ14" s="30" t="n"/>
      <c r="CK14" s="30" t="n"/>
      <c r="CL14" s="30" t="n"/>
      <c r="CM14" s="30" t="n"/>
      <c r="CN14" s="30" t="n"/>
      <c r="CO14" s="30" t="n"/>
      <c r="CP14" s="30" t="n"/>
      <c r="CQ14" s="30" t="n"/>
      <c r="CR14" s="30" t="n"/>
      <c r="CS14" s="30" t="n"/>
      <c r="CT14" s="30" t="n"/>
      <c r="CU14" s="30" t="n"/>
      <c r="CV14" s="30" t="n"/>
      <c r="CW14" s="30" t="n"/>
      <c r="CX14" s="30" t="n"/>
      <c r="CY14" s="30" t="n"/>
      <c r="CZ14" s="30" t="n"/>
    </row>
    <row r="15">
      <c r="A15" s="2" t="n"/>
      <c r="E15" s="30" t="n">
        <v>10</v>
      </c>
      <c r="F15" s="30" t="inlineStr">
        <is>
          <t>Equipamento</t>
        </is>
      </c>
      <c r="G15" s="36" t="n">
        <v>25188.28755863747</v>
      </c>
      <c r="H15" s="30" t="n">
        <v>3</v>
      </c>
      <c r="I15" s="36">
        <f>G15/(H15*12)</f>
        <v/>
      </c>
      <c r="J15" s="36">
        <f>IF(AND(J5&gt;=DATE(2024,5,1),J5&lt;DATE(2027,5,1)),I15,0)</f>
        <v/>
      </c>
      <c r="K15" s="36">
        <f>IF(AND(K5&gt;=DATE(2024,5,1),K5&lt;DATE(2027,5,1)),I15,0)</f>
        <v/>
      </c>
      <c r="L15" s="36">
        <f>IF(AND(L5&gt;=DATE(2024,5,1),L5&lt;DATE(2027,5,1)),I15,0)</f>
        <v/>
      </c>
      <c r="M15" s="36">
        <f>IF(AND(M5&gt;=DATE(2024,5,1),M5&lt;DATE(2027,5,1)),I15,0)</f>
        <v/>
      </c>
      <c r="N15" s="36">
        <f>IF(AND(N5&gt;=DATE(2024,5,1),N5&lt;DATE(2027,5,1)),I15,0)</f>
        <v/>
      </c>
      <c r="O15" s="36">
        <f>IF(AND(O5&gt;=DATE(2024,5,1),O5&lt;DATE(2027,5,1)),I15,0)</f>
        <v/>
      </c>
      <c r="P15" s="36">
        <f>IF(AND(P5&gt;=DATE(2024,5,1),P5&lt;DATE(2027,5,1)),I15,0)</f>
        <v/>
      </c>
      <c r="Q15" s="36">
        <f>IF(AND(Q5&gt;=DATE(2024,5,1),Q5&lt;DATE(2027,5,1)),I15,0)</f>
        <v/>
      </c>
      <c r="R15" s="36">
        <f>IF(AND(R5&gt;=DATE(2024,5,1),R5&lt;DATE(2027,5,1)),I15,0)</f>
        <v/>
      </c>
      <c r="S15" s="36">
        <f>IF(AND(S5&gt;=DATE(2024,5,1),S5&lt;DATE(2027,5,1)),I15,0)</f>
        <v/>
      </c>
      <c r="T15" s="36">
        <f>IF(AND(T5&gt;=DATE(2024,5,1),T5&lt;DATE(2027,5,1)),I15,0)</f>
        <v/>
      </c>
      <c r="U15" s="36">
        <f>IF(AND(U5&gt;=DATE(2024,5,1),U5&lt;DATE(2027,5,1)),I15,0)</f>
        <v/>
      </c>
      <c r="V15" s="36">
        <f>IF(AND(V5&gt;=DATE(2024,5,1),V5&lt;DATE(2027,5,1)),I15,0)</f>
        <v/>
      </c>
      <c r="W15" s="30" t="n"/>
      <c r="X15" s="30" t="n"/>
      <c r="Y15" s="30" t="n"/>
      <c r="Z15" s="30" t="n"/>
      <c r="AA15" s="30" t="n"/>
      <c r="AB15" s="30" t="n"/>
      <c r="AC15" s="30" t="n"/>
      <c r="AD15" s="30" t="n"/>
      <c r="AE15" s="30" t="n"/>
      <c r="AF15" s="30" t="n"/>
      <c r="AG15" s="30" t="n"/>
      <c r="AH15" s="30" t="n"/>
      <c r="AI15" s="30" t="n"/>
      <c r="AJ15" s="30" t="n"/>
      <c r="AK15" s="30" t="n"/>
      <c r="AL15" s="30" t="n"/>
      <c r="AM15" s="30" t="n"/>
      <c r="AN15" s="30" t="n"/>
      <c r="AO15" s="30" t="n"/>
      <c r="AP15" s="30" t="n"/>
      <c r="AQ15" s="30" t="n"/>
      <c r="AR15" s="30" t="n"/>
      <c r="AS15" s="30" t="n"/>
      <c r="AT15" s="30" t="n"/>
      <c r="AU15" s="30" t="n"/>
      <c r="AV15" s="30" t="n"/>
      <c r="AW15" s="30" t="n"/>
      <c r="AX15" s="30" t="n"/>
      <c r="AY15" s="30" t="n"/>
      <c r="AZ15" s="30" t="n"/>
      <c r="BA15" s="30" t="n"/>
      <c r="BB15" s="30" t="n"/>
      <c r="BC15" s="30" t="n"/>
      <c r="BD15" s="30" t="n"/>
      <c r="BE15" s="30" t="n"/>
      <c r="BF15" s="30" t="n"/>
      <c r="BG15" s="30" t="n"/>
      <c r="BH15" s="30" t="n"/>
      <c r="BI15" s="30" t="n"/>
      <c r="BJ15" s="30" t="n"/>
      <c r="BK15" s="30" t="n"/>
      <c r="BL15" s="30" t="n"/>
      <c r="BM15" s="30" t="n"/>
      <c r="BN15" s="30" t="n"/>
      <c r="BO15" s="30" t="n"/>
      <c r="BP15" s="30" t="n"/>
      <c r="BQ15" s="30" t="n"/>
      <c r="BR15" s="30" t="n"/>
      <c r="BS15" s="30" t="n"/>
      <c r="BT15" s="30" t="n"/>
      <c r="BU15" s="30" t="n"/>
      <c r="BV15" s="30" t="n"/>
      <c r="BW15" s="30" t="n"/>
      <c r="BX15" s="30" t="n"/>
      <c r="BY15" s="30" t="n"/>
      <c r="BZ15" s="30" t="n"/>
      <c r="CA15" s="30" t="n"/>
      <c r="CB15" s="30" t="n"/>
      <c r="CC15" s="30" t="n"/>
      <c r="CD15" s="30" t="n"/>
      <c r="CE15" s="30" t="n"/>
      <c r="CF15" s="30" t="n"/>
      <c r="CG15" s="30" t="n"/>
      <c r="CH15" s="30" t="n"/>
      <c r="CI15" s="30" t="n"/>
      <c r="CJ15" s="30" t="n"/>
      <c r="CK15" s="30" t="n"/>
      <c r="CL15" s="30" t="n"/>
      <c r="CM15" s="30" t="n"/>
      <c r="CN15" s="30" t="n"/>
      <c r="CO15" s="30" t="n"/>
      <c r="CP15" s="30" t="n"/>
      <c r="CQ15" s="30" t="n"/>
      <c r="CR15" s="30" t="n"/>
      <c r="CS15" s="30" t="n"/>
      <c r="CT15" s="30" t="n"/>
      <c r="CU15" s="30" t="n"/>
      <c r="CV15" s="30" t="n"/>
      <c r="CW15" s="30" t="n"/>
      <c r="CX15" s="30" t="n"/>
      <c r="CY15" s="30" t="n"/>
      <c r="CZ15" s="30" t="n"/>
    </row>
    <row r="16">
      <c r="A16" s="2" t="n"/>
      <c r="E16" t="n">
        <v>11</v>
      </c>
      <c r="F16" t="inlineStr">
        <is>
          <t>Equipamento</t>
        </is>
      </c>
      <c r="G16" s="3" t="n">
        <v>66398.70299425052</v>
      </c>
      <c r="H16" t="n">
        <v>3</v>
      </c>
      <c r="I16" s="3">
        <f>G16/(H16*12)</f>
        <v/>
      </c>
      <c r="J16" s="3">
        <f>IF(AND(J5&gt;=DATE(2024,5,1),J5&lt;DATE(2027,5,1)),I16,0)</f>
        <v/>
      </c>
      <c r="K16" s="3">
        <f>IF(AND(K5&gt;=DATE(2024,5,1),K5&lt;DATE(2027,5,1)),I16,0)</f>
        <v/>
      </c>
      <c r="L16" s="3">
        <f>IF(AND(L5&gt;=DATE(2024,5,1),L5&lt;DATE(2027,5,1)),I16,0)</f>
        <v/>
      </c>
      <c r="M16" s="3">
        <f>IF(AND(M5&gt;=DATE(2024,5,1),M5&lt;DATE(2027,5,1)),I16,0)</f>
        <v/>
      </c>
      <c r="N16" s="3">
        <f>IF(AND(N5&gt;=DATE(2024,5,1),N5&lt;DATE(2027,5,1)),I16,0)</f>
        <v/>
      </c>
      <c r="O16" s="3">
        <f>IF(AND(O5&gt;=DATE(2024,5,1),O5&lt;DATE(2027,5,1)),I16,0)</f>
        <v/>
      </c>
      <c r="P16" s="3">
        <f>IF(AND(P5&gt;=DATE(2024,5,1),P5&lt;DATE(2027,5,1)),I16,0)</f>
        <v/>
      </c>
      <c r="Q16" s="3">
        <f>IF(AND(Q5&gt;=DATE(2024,5,1),Q5&lt;DATE(2027,5,1)),I16,0)</f>
        <v/>
      </c>
      <c r="R16" s="3">
        <f>IF(AND(R5&gt;=DATE(2024,5,1),R5&lt;DATE(2027,5,1)),I16,0)</f>
        <v/>
      </c>
      <c r="S16" s="3">
        <f>IF(AND(S5&gt;=DATE(2024,5,1),S5&lt;DATE(2027,5,1)),I16,0)</f>
        <v/>
      </c>
      <c r="T16" s="3">
        <f>IF(AND(T5&gt;=DATE(2024,5,1),T5&lt;DATE(2027,5,1)),I16,0)</f>
        <v/>
      </c>
      <c r="U16" s="3">
        <f>IF(AND(U5&gt;=DATE(2024,5,1),U5&lt;DATE(2027,5,1)),I16,0)</f>
        <v/>
      </c>
      <c r="V16" s="3">
        <f>IF(AND(V5&gt;=DATE(2024,5,1),V5&lt;DATE(2027,5,1)),I16,0)</f>
        <v/>
      </c>
    </row>
    <row r="17">
      <c r="A17" s="2" t="n"/>
      <c r="E17" t="n">
        <v>12</v>
      </c>
      <c r="F17" t="inlineStr">
        <is>
          <t>Equipamento</t>
        </is>
      </c>
      <c r="G17" s="3" t="n">
        <v>64918.76703676193</v>
      </c>
      <c r="H17" t="n">
        <v>3</v>
      </c>
      <c r="I17" s="3">
        <f>G17/(H17*12)</f>
        <v/>
      </c>
      <c r="J17" s="3">
        <f>IF(AND(J5&gt;=DATE(2024,5,1),J5&lt;DATE(2027,5,1)),I17,0)</f>
        <v/>
      </c>
      <c r="K17" s="3">
        <f>IF(AND(K5&gt;=DATE(2024,5,1),K5&lt;DATE(2027,5,1)),I17,0)</f>
        <v/>
      </c>
      <c r="L17" s="3">
        <f>IF(AND(L5&gt;=DATE(2024,5,1),L5&lt;DATE(2027,5,1)),I17,0)</f>
        <v/>
      </c>
      <c r="M17" s="3">
        <f>IF(AND(M5&gt;=DATE(2024,5,1),M5&lt;DATE(2027,5,1)),I17,0)</f>
        <v/>
      </c>
      <c r="N17" s="3">
        <f>IF(AND(N5&gt;=DATE(2024,5,1),N5&lt;DATE(2027,5,1)),I17,0)</f>
        <v/>
      </c>
      <c r="O17" s="3">
        <f>IF(AND(O5&gt;=DATE(2024,5,1),O5&lt;DATE(2027,5,1)),I17,0)</f>
        <v/>
      </c>
      <c r="P17" s="3">
        <f>IF(AND(P5&gt;=DATE(2024,5,1),P5&lt;DATE(2027,5,1)),I17,0)</f>
        <v/>
      </c>
      <c r="Q17" s="3">
        <f>IF(AND(Q5&gt;=DATE(2024,5,1),Q5&lt;DATE(2027,5,1)),I17,0)</f>
        <v/>
      </c>
      <c r="R17" s="3">
        <f>IF(AND(R5&gt;=DATE(2024,5,1),R5&lt;DATE(2027,5,1)),I17,0)</f>
        <v/>
      </c>
      <c r="S17" s="3">
        <f>IF(AND(S5&gt;=DATE(2024,5,1),S5&lt;DATE(2027,5,1)),I17,0)</f>
        <v/>
      </c>
      <c r="T17" s="3">
        <f>IF(AND(T5&gt;=DATE(2024,5,1),T5&lt;DATE(2027,5,1)),I17,0)</f>
        <v/>
      </c>
      <c r="U17" s="3">
        <f>IF(AND(U5&gt;=DATE(2024,5,1),U5&lt;DATE(2027,5,1)),I17,0)</f>
        <v/>
      </c>
      <c r="V17" s="3">
        <f>IF(AND(V5&gt;=DATE(2024,5,1),V5&lt;DATE(2027,5,1)),I17,0)</f>
        <v/>
      </c>
    </row>
    <row r="18">
      <c r="A18" s="2" t="n"/>
    </row>
    <row r="19">
      <c r="A19" s="2" t="n"/>
    </row>
    <row r="20">
      <c r="A20" s="2" t="n"/>
    </row>
    <row r="21">
      <c r="A21" s="2" t="n"/>
    </row>
    <row r="22">
      <c r="A22" s="2" t="n"/>
    </row>
    <row r="23">
      <c r="A23" s="2" t="n"/>
    </row>
    <row r="24">
      <c r="A24" s="2" t="n"/>
    </row>
    <row r="25">
      <c r="A25" s="2" t="n"/>
    </row>
    <row r="26">
      <c r="A26" s="2" t="n"/>
    </row>
    <row r="27">
      <c r="A27" s="2" t="n"/>
    </row>
    <row r="28">
      <c r="A28" s="2" t="n"/>
    </row>
    <row r="29">
      <c r="A29" s="2" t="n"/>
    </row>
    <row r="30">
      <c r="A30" s="2" t="n"/>
    </row>
    <row r="31">
      <c r="A31" s="2" t="n"/>
    </row>
    <row r="32">
      <c r="A32" s="2" t="n"/>
    </row>
    <row r="33">
      <c r="A33" s="2" t="n"/>
    </row>
    <row r="34">
      <c r="A34" s="2" t="n"/>
    </row>
    <row r="35">
      <c r="A35" s="2" t="n"/>
    </row>
    <row r="36">
      <c r="A36" s="2" t="n"/>
    </row>
    <row r="37">
      <c r="A37" s="2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tabColor theme="1"/>
    <outlinePr summaryBelow="1" summaryRight="1"/>
    <pageSetUpPr/>
  </sheetPr>
  <dimension ref="A1:E53"/>
  <sheetViews>
    <sheetView workbookViewId="0">
      <selection activeCell="J29" sqref="J29"/>
    </sheetView>
  </sheetViews>
  <sheetFormatPr baseColWidth="8" defaultRowHeight="15"/>
  <sheetData>
    <row r="1">
      <c r="A1" s="1" t="inlineStr">
        <is>
          <t>Mês</t>
        </is>
      </c>
      <c r="B1" s="1" t="inlineStr">
        <is>
          <t>Funcionário</t>
        </is>
      </c>
      <c r="C1" s="1" t="inlineStr">
        <is>
          <t>Salário_Bruto</t>
        </is>
      </c>
      <c r="D1" s="1" t="inlineStr">
        <is>
          <t>Encargos</t>
        </is>
      </c>
      <c r="E1" s="1" t="inlineStr">
        <is>
          <t>Benefícios</t>
        </is>
      </c>
    </row>
    <row r="2">
      <c r="A2" s="2" t="n">
        <v>45292</v>
      </c>
      <c r="B2" t="inlineStr">
        <is>
          <t>João</t>
        </is>
      </c>
      <c r="C2" t="n">
        <v>33821.18551245211</v>
      </c>
      <c r="D2" t="n">
        <v>7853.534766152889</v>
      </c>
      <c r="E2" t="n">
        <v>1919.604548110929</v>
      </c>
    </row>
    <row r="3">
      <c r="A3" s="2" t="n">
        <v>45292</v>
      </c>
      <c r="B3" t="inlineStr">
        <is>
          <t>Maria</t>
        </is>
      </c>
      <c r="C3" t="n">
        <v>29343.88592327448</v>
      </c>
      <c r="D3" t="n">
        <v>7098.594244452483</v>
      </c>
      <c r="E3" t="n">
        <v>5587.603259432575</v>
      </c>
    </row>
    <row r="4">
      <c r="A4" s="2" t="n">
        <v>45292</v>
      </c>
      <c r="B4" t="inlineStr">
        <is>
          <t>Pedro</t>
        </is>
      </c>
      <c r="C4" t="n">
        <v>19943.02110661246</v>
      </c>
      <c r="D4" t="n">
        <v>7562.548884826765</v>
      </c>
      <c r="E4" t="n">
        <v>4385.927276245544</v>
      </c>
    </row>
    <row r="5">
      <c r="A5" s="2" t="n">
        <v>45292</v>
      </c>
      <c r="B5" t="inlineStr">
        <is>
          <t>Ana</t>
        </is>
      </c>
      <c r="C5" t="n">
        <v>17011.22828779484</v>
      </c>
      <c r="D5" t="n">
        <v>10867.51167135051</v>
      </c>
      <c r="E5" t="n">
        <v>3058.557755179474</v>
      </c>
    </row>
    <row r="6">
      <c r="A6" s="2" t="n">
        <v>45323</v>
      </c>
      <c r="B6" t="inlineStr">
        <is>
          <t>João</t>
        </is>
      </c>
      <c r="C6" t="n">
        <v>16531.1092908288</v>
      </c>
      <c r="D6" t="n">
        <v>10737.47973586498</v>
      </c>
      <c r="E6" t="n">
        <v>5163.981863031908</v>
      </c>
    </row>
    <row r="7">
      <c r="A7" s="2" t="n">
        <v>45323</v>
      </c>
      <c r="B7" t="inlineStr">
        <is>
          <t>Maria</t>
        </is>
      </c>
      <c r="C7" t="n">
        <v>23711.56311747907</v>
      </c>
      <c r="D7" t="n">
        <v>10560.04803156073</v>
      </c>
      <c r="E7" t="n">
        <v>2839.567986372567</v>
      </c>
    </row>
    <row r="8">
      <c r="A8" s="2" t="n">
        <v>45323</v>
      </c>
      <c r="B8" t="inlineStr">
        <is>
          <t>Pedro</t>
        </is>
      </c>
      <c r="C8" t="n">
        <v>21406.1888245302</v>
      </c>
      <c r="D8" t="n">
        <v>9571.178303030285</v>
      </c>
      <c r="E8" t="n">
        <v>3908.798072460223</v>
      </c>
    </row>
    <row r="9">
      <c r="A9" s="2" t="n">
        <v>45323</v>
      </c>
      <c r="B9" t="inlineStr">
        <is>
          <t>Ana</t>
        </is>
      </c>
      <c r="C9" t="n">
        <v>29710.60829642117</v>
      </c>
      <c r="D9" t="n">
        <v>6894.210088002998</v>
      </c>
      <c r="E9" t="n">
        <v>4253.448939404465</v>
      </c>
    </row>
    <row r="10">
      <c r="A10" s="2" t="n">
        <v>45352</v>
      </c>
      <c r="B10" t="inlineStr">
        <is>
          <t>João</t>
        </is>
      </c>
      <c r="C10" t="n">
        <v>26505.45095593302</v>
      </c>
      <c r="D10" t="n">
        <v>7251.697004839694</v>
      </c>
      <c r="E10" t="n">
        <v>2699.66126272276</v>
      </c>
    </row>
    <row r="11">
      <c r="A11" s="2" t="n">
        <v>45352</v>
      </c>
      <c r="B11" t="inlineStr">
        <is>
          <t>Maria</t>
        </is>
      </c>
      <c r="C11" t="n">
        <v>21409.86103163752</v>
      </c>
      <c r="D11" t="n">
        <v>8109.604112806088</v>
      </c>
      <c r="E11" t="n">
        <v>5535.119411829432</v>
      </c>
    </row>
    <row r="12">
      <c r="A12" s="2" t="n">
        <v>45352</v>
      </c>
      <c r="B12" t="inlineStr">
        <is>
          <t>Pedro</t>
        </is>
      </c>
      <c r="C12" t="n">
        <v>18859.35307043185</v>
      </c>
      <c r="D12" t="n">
        <v>9862.535007966202</v>
      </c>
      <c r="E12" t="n">
        <v>4673.230495985366</v>
      </c>
    </row>
    <row r="13">
      <c r="A13" s="2" t="n">
        <v>45352</v>
      </c>
      <c r="B13" t="inlineStr">
        <is>
          <t>Ana</t>
        </is>
      </c>
      <c r="C13" t="n">
        <v>18378.0428170939</v>
      </c>
      <c r="D13" t="n">
        <v>5108.768074913993</v>
      </c>
      <c r="E13" t="n">
        <v>3960.452716313446</v>
      </c>
    </row>
    <row r="14">
      <c r="A14" s="2" t="n">
        <v>45383</v>
      </c>
      <c r="B14" t="inlineStr">
        <is>
          <t>João</t>
        </is>
      </c>
      <c r="C14" t="n">
        <v>34484.18296434671</v>
      </c>
      <c r="D14" t="n">
        <v>7327.612567921701</v>
      </c>
      <c r="E14" t="n">
        <v>2548.146175568326</v>
      </c>
    </row>
    <row r="15">
      <c r="A15" s="2" t="n">
        <v>45383</v>
      </c>
      <c r="B15" t="inlineStr">
        <is>
          <t>Maria</t>
        </is>
      </c>
      <c r="C15" t="n">
        <v>20917.5588299623</v>
      </c>
      <c r="D15" t="n">
        <v>5195.534219985836</v>
      </c>
      <c r="E15" t="n">
        <v>2073.64512700061</v>
      </c>
    </row>
    <row r="16">
      <c r="A16" s="2" t="n">
        <v>45383</v>
      </c>
      <c r="B16" t="inlineStr">
        <is>
          <t>Pedro</t>
        </is>
      </c>
      <c r="C16" t="n">
        <v>29833.36055037555</v>
      </c>
      <c r="D16" t="n">
        <v>7891.463340218711</v>
      </c>
      <c r="E16" t="n">
        <v>3070.304012958562</v>
      </c>
    </row>
    <row r="17">
      <c r="A17" s="2" t="n">
        <v>45383</v>
      </c>
      <c r="B17" t="inlineStr">
        <is>
          <t>Ana</t>
        </is>
      </c>
      <c r="C17" t="n">
        <v>33305.38066722004</v>
      </c>
      <c r="D17" t="n">
        <v>10289.14114179891</v>
      </c>
      <c r="E17" t="n">
        <v>4691.933385659782</v>
      </c>
    </row>
    <row r="18">
      <c r="A18" s="2" t="n">
        <v>45413</v>
      </c>
      <c r="B18" t="inlineStr">
        <is>
          <t>João</t>
        </is>
      </c>
      <c r="C18" t="n">
        <v>29011.53583627464</v>
      </c>
      <c r="D18" t="n">
        <v>9562.705929278973</v>
      </c>
      <c r="E18" t="n">
        <v>2880.376380842782</v>
      </c>
    </row>
    <row r="19">
      <c r="A19" s="2" t="n">
        <v>45413</v>
      </c>
      <c r="B19" t="inlineStr">
        <is>
          <t>Maria</t>
        </is>
      </c>
      <c r="C19" t="n">
        <v>34372.90465916929</v>
      </c>
      <c r="D19" t="n">
        <v>6101.736685469005</v>
      </c>
      <c r="E19" t="n">
        <v>3892.098489535171</v>
      </c>
    </row>
    <row r="20">
      <c r="A20" s="2" t="n">
        <v>45413</v>
      </c>
      <c r="B20" t="inlineStr">
        <is>
          <t>Pedro</t>
        </is>
      </c>
      <c r="C20" t="n">
        <v>24169.87887818188</v>
      </c>
      <c r="D20" t="n">
        <v>10770.18290149647</v>
      </c>
      <c r="E20" t="n">
        <v>4597.434229679903</v>
      </c>
    </row>
    <row r="21">
      <c r="A21" s="2" t="n">
        <v>45413</v>
      </c>
      <c r="B21" t="inlineStr">
        <is>
          <t>Ana</t>
        </is>
      </c>
      <c r="C21" t="n">
        <v>36483.89264377303</v>
      </c>
      <c r="D21" t="n">
        <v>8844.266483809715</v>
      </c>
      <c r="E21" t="n">
        <v>2276.141267636362</v>
      </c>
    </row>
    <row r="22">
      <c r="A22" s="2" t="n">
        <v>45444</v>
      </c>
      <c r="B22" t="inlineStr">
        <is>
          <t>João</t>
        </is>
      </c>
      <c r="C22" t="n">
        <v>18507.88689124964</v>
      </c>
      <c r="D22" t="n">
        <v>4745.068844239795</v>
      </c>
      <c r="E22" t="n">
        <v>4437.75577233783</v>
      </c>
    </row>
    <row r="23">
      <c r="A23" s="2" t="n">
        <v>45444</v>
      </c>
      <c r="B23" t="inlineStr">
        <is>
          <t>Maria</t>
        </is>
      </c>
      <c r="C23" t="n">
        <v>17830.94572772063</v>
      </c>
      <c r="D23" t="n">
        <v>6273.780144435769</v>
      </c>
      <c r="E23" t="n">
        <v>2215.964603586408</v>
      </c>
    </row>
    <row r="24">
      <c r="A24" s="2" t="n">
        <v>45444</v>
      </c>
      <c r="B24" t="inlineStr">
        <is>
          <t>Pedro</t>
        </is>
      </c>
      <c r="C24" t="n">
        <v>29985.83647317057</v>
      </c>
      <c r="D24" t="n">
        <v>6306.85099150028</v>
      </c>
      <c r="E24" t="n">
        <v>5485.445754523475</v>
      </c>
    </row>
    <row r="25">
      <c r="A25" s="2" t="n">
        <v>45444</v>
      </c>
      <c r="B25" t="inlineStr">
        <is>
          <t>Ana</t>
        </is>
      </c>
      <c r="C25" t="n">
        <v>36191.43212846563</v>
      </c>
      <c r="D25" t="n">
        <v>5112.146871223767</v>
      </c>
      <c r="E25" t="n">
        <v>3700.547622963135</v>
      </c>
    </row>
    <row r="26">
      <c r="A26" s="2" t="n">
        <v>45474</v>
      </c>
      <c r="B26" t="inlineStr">
        <is>
          <t>João</t>
        </is>
      </c>
      <c r="C26" t="n">
        <v>33266.01480213741</v>
      </c>
      <c r="D26" t="n">
        <v>10669.3174727938</v>
      </c>
      <c r="E26" t="n">
        <v>2436.131347265781</v>
      </c>
    </row>
    <row r="27">
      <c r="A27" s="2" t="n">
        <v>45474</v>
      </c>
      <c r="B27" t="inlineStr">
        <is>
          <t>Maria</t>
        </is>
      </c>
      <c r="C27" t="n">
        <v>17268.94421012704</v>
      </c>
      <c r="D27" t="n">
        <v>7664.313038153762</v>
      </c>
      <c r="E27" t="n">
        <v>3153.884333309599</v>
      </c>
    </row>
    <row r="28">
      <c r="A28" s="2" t="n">
        <v>45474</v>
      </c>
      <c r="B28" t="inlineStr">
        <is>
          <t>Pedro</t>
        </is>
      </c>
      <c r="C28" t="n">
        <v>21701.39087233421</v>
      </c>
      <c r="D28" t="n">
        <v>10269.88308760054</v>
      </c>
      <c r="E28" t="n">
        <v>3419.83118616146</v>
      </c>
    </row>
    <row r="29">
      <c r="A29" s="2" t="n">
        <v>45474</v>
      </c>
      <c r="B29" t="inlineStr">
        <is>
          <t>Ana</t>
        </is>
      </c>
      <c r="C29" t="n">
        <v>35918.16444485808</v>
      </c>
      <c r="D29" t="n">
        <v>6690.624741494479</v>
      </c>
      <c r="E29" t="n">
        <v>4710.644681470556</v>
      </c>
    </row>
    <row r="30">
      <c r="A30" s="2" t="n">
        <v>45505</v>
      </c>
      <c r="B30" t="inlineStr">
        <is>
          <t>João</t>
        </is>
      </c>
      <c r="C30" t="n">
        <v>21126.79617236914</v>
      </c>
      <c r="D30" t="n">
        <v>5461.457479500841</v>
      </c>
      <c r="E30" t="n">
        <v>4655.378655070825</v>
      </c>
    </row>
    <row r="31">
      <c r="A31" s="2" t="n">
        <v>45505</v>
      </c>
      <c r="B31" t="inlineStr">
        <is>
          <t>Maria</t>
        </is>
      </c>
      <c r="C31" t="n">
        <v>32660.76205550634</v>
      </c>
      <c r="D31" t="n">
        <v>7639.857325814775</v>
      </c>
      <c r="E31" t="n">
        <v>4163.105251982966</v>
      </c>
    </row>
    <row r="32">
      <c r="A32" s="2" t="n">
        <v>45505</v>
      </c>
      <c r="B32" t="inlineStr">
        <is>
          <t>Pedro</t>
        </is>
      </c>
      <c r="C32" t="n">
        <v>33620.8871590829</v>
      </c>
      <c r="D32" t="n">
        <v>5391.089400617338</v>
      </c>
      <c r="E32" t="n">
        <v>2268.604587818998</v>
      </c>
    </row>
    <row r="33">
      <c r="A33" s="2" t="n">
        <v>45505</v>
      </c>
      <c r="B33" t="inlineStr">
        <is>
          <t>Ana</t>
        </is>
      </c>
      <c r="C33" t="n">
        <v>26420.67393958784</v>
      </c>
      <c r="D33" t="n">
        <v>7712.73673857985</v>
      </c>
      <c r="E33" t="n">
        <v>2439.47572722425</v>
      </c>
    </row>
    <row r="34">
      <c r="A34" s="2" t="n">
        <v>45536</v>
      </c>
      <c r="B34" t="inlineStr">
        <is>
          <t>João</t>
        </is>
      </c>
      <c r="C34" t="n">
        <v>24037.86019108721</v>
      </c>
      <c r="D34" t="n">
        <v>10422.65441080911</v>
      </c>
      <c r="E34" t="n">
        <v>2223.025910896964</v>
      </c>
    </row>
    <row r="35">
      <c r="A35" s="2" t="n">
        <v>45536</v>
      </c>
      <c r="B35" t="inlineStr">
        <is>
          <t>Maria</t>
        </is>
      </c>
      <c r="C35" t="n">
        <v>25430.71760404755</v>
      </c>
      <c r="D35" t="n">
        <v>7929.593205045486</v>
      </c>
      <c r="E35" t="n">
        <v>4032.934900628587</v>
      </c>
    </row>
    <row r="36">
      <c r="A36" s="2" t="n">
        <v>45536</v>
      </c>
      <c r="B36" t="inlineStr">
        <is>
          <t>Pedro</t>
        </is>
      </c>
      <c r="C36" t="n">
        <v>20556.90892493955</v>
      </c>
      <c r="D36" t="n">
        <v>8526.958295825321</v>
      </c>
      <c r="E36" t="n">
        <v>5156.006325018697</v>
      </c>
    </row>
    <row r="37">
      <c r="A37" s="2" t="n">
        <v>45536</v>
      </c>
      <c r="B37" t="inlineStr">
        <is>
          <t>Ana</t>
        </is>
      </c>
      <c r="C37" t="n">
        <v>35024.29760825395</v>
      </c>
      <c r="D37" t="n">
        <v>5657.423846716565</v>
      </c>
      <c r="E37" t="n">
        <v>3496.149117881866</v>
      </c>
    </row>
    <row r="38">
      <c r="A38" s="2" t="n">
        <v>45566</v>
      </c>
      <c r="B38" t="inlineStr">
        <is>
          <t>João</t>
        </is>
      </c>
      <c r="C38" t="n">
        <v>25441.53330297791</v>
      </c>
      <c r="D38" t="n">
        <v>4952.91030549101</v>
      </c>
      <c r="E38" t="n">
        <v>2474.215563297802</v>
      </c>
    </row>
    <row r="39">
      <c r="A39" s="2" t="n">
        <v>45566</v>
      </c>
      <c r="B39" t="inlineStr">
        <is>
          <t>Maria</t>
        </is>
      </c>
      <c r="C39" t="n">
        <v>34872.91417956122</v>
      </c>
      <c r="D39" t="n">
        <v>5371.441684001995</v>
      </c>
      <c r="E39" t="n">
        <v>3961.310465357731</v>
      </c>
    </row>
    <row r="40">
      <c r="A40" s="2" t="n">
        <v>45566</v>
      </c>
      <c r="B40" t="inlineStr">
        <is>
          <t>Pedro</t>
        </is>
      </c>
      <c r="C40" t="n">
        <v>17908.34560115303</v>
      </c>
      <c r="D40" t="n">
        <v>8414.83703227044</v>
      </c>
      <c r="E40" t="n">
        <v>4911.200299945218</v>
      </c>
    </row>
    <row r="41">
      <c r="A41" s="2" t="n">
        <v>45566</v>
      </c>
      <c r="B41" t="inlineStr">
        <is>
          <t>Ana</t>
        </is>
      </c>
      <c r="C41" t="n">
        <v>37183.93191864287</v>
      </c>
      <c r="D41" t="n">
        <v>5272.873001711981</v>
      </c>
      <c r="E41" t="n">
        <v>4648.96995830441</v>
      </c>
    </row>
    <row r="42">
      <c r="A42" s="2" t="n">
        <v>45597</v>
      </c>
      <c r="B42" t="inlineStr">
        <is>
          <t>João</t>
        </is>
      </c>
      <c r="C42" t="n">
        <v>25281.08422976862</v>
      </c>
      <c r="D42" t="n">
        <v>7026.195633233784</v>
      </c>
      <c r="E42" t="n">
        <v>5172.151719103282</v>
      </c>
    </row>
    <row r="43">
      <c r="A43" s="2" t="n">
        <v>45597</v>
      </c>
      <c r="B43" t="inlineStr">
        <is>
          <t>Maria</t>
        </is>
      </c>
      <c r="C43" t="n">
        <v>16644.62511740726</v>
      </c>
      <c r="D43" t="n">
        <v>8112.573708458893</v>
      </c>
      <c r="E43" t="n">
        <v>2912.465452099761</v>
      </c>
    </row>
    <row r="44">
      <c r="A44" s="2" t="n">
        <v>45597</v>
      </c>
      <c r="B44" t="inlineStr">
        <is>
          <t>Pedro</t>
        </is>
      </c>
      <c r="C44" t="n">
        <v>16430.39716550602</v>
      </c>
      <c r="D44" t="n">
        <v>7105.193463450245</v>
      </c>
      <c r="E44" t="n">
        <v>2598.163279050549</v>
      </c>
    </row>
    <row r="45">
      <c r="A45" s="2" t="n">
        <v>45597</v>
      </c>
      <c r="B45" t="inlineStr">
        <is>
          <t>Ana</t>
        </is>
      </c>
      <c r="C45" t="n">
        <v>31897.16650340335</v>
      </c>
      <c r="D45" t="n">
        <v>5701.386921143481</v>
      </c>
      <c r="E45" t="n">
        <v>5166.032923366617</v>
      </c>
    </row>
    <row r="46">
      <c r="A46" s="2" t="n">
        <v>45627</v>
      </c>
      <c r="B46" t="inlineStr">
        <is>
          <t>João</t>
        </is>
      </c>
      <c r="C46" t="n">
        <v>29993.33606700839</v>
      </c>
      <c r="D46" t="n">
        <v>6388.457758888025</v>
      </c>
      <c r="E46" t="n">
        <v>4333.90581104092</v>
      </c>
    </row>
    <row r="47">
      <c r="A47" s="2" t="n">
        <v>45627</v>
      </c>
      <c r="B47" t="inlineStr">
        <is>
          <t>Maria</t>
        </is>
      </c>
      <c r="C47" t="n">
        <v>33118.5313895065</v>
      </c>
      <c r="D47" t="n">
        <v>10472.70140497512</v>
      </c>
      <c r="E47" t="n">
        <v>3036.117913948283</v>
      </c>
    </row>
    <row r="48">
      <c r="A48" s="2" t="n">
        <v>45627</v>
      </c>
      <c r="B48" t="inlineStr">
        <is>
          <t>Pedro</t>
        </is>
      </c>
      <c r="C48" t="n">
        <v>17901.22694152928</v>
      </c>
      <c r="D48" t="n">
        <v>8898.129399658857</v>
      </c>
      <c r="E48" t="n">
        <v>4651.351101343475</v>
      </c>
    </row>
    <row r="49">
      <c r="A49" s="2" t="n">
        <v>45627</v>
      </c>
      <c r="B49" t="inlineStr">
        <is>
          <t>Ana</t>
        </is>
      </c>
      <c r="C49" t="n">
        <v>16376.86773605637</v>
      </c>
      <c r="D49" t="n">
        <v>7775.338513362492</v>
      </c>
      <c r="E49" t="n">
        <v>4923.803231494496</v>
      </c>
    </row>
    <row r="50">
      <c r="A50" s="2" t="n">
        <v>45658</v>
      </c>
      <c r="B50" t="inlineStr">
        <is>
          <t>João</t>
        </is>
      </c>
      <c r="C50" t="n">
        <v>29993.33606700839</v>
      </c>
      <c r="D50" t="n">
        <v>6388.457758888025</v>
      </c>
      <c r="E50" t="n">
        <v>4333.90581104092</v>
      </c>
    </row>
    <row r="51">
      <c r="A51" s="2" t="n">
        <v>45658</v>
      </c>
      <c r="B51" t="inlineStr">
        <is>
          <t>Maria</t>
        </is>
      </c>
      <c r="C51" t="n">
        <v>33118.5313895065</v>
      </c>
      <c r="D51" t="n">
        <v>10472.70140497512</v>
      </c>
      <c r="E51" t="n">
        <v>3036.117913948283</v>
      </c>
    </row>
    <row r="52">
      <c r="A52" s="2" t="n">
        <v>45658</v>
      </c>
      <c r="B52" t="inlineStr">
        <is>
          <t>Pedro</t>
        </is>
      </c>
      <c r="C52" t="n">
        <v>17901.22694152928</v>
      </c>
      <c r="D52" t="n">
        <v>8898.129399658857</v>
      </c>
      <c r="E52" t="n">
        <v>4651.351101343475</v>
      </c>
    </row>
    <row r="53">
      <c r="A53" s="2" t="n">
        <v>45658</v>
      </c>
      <c r="B53" t="inlineStr">
        <is>
          <t>Ana</t>
        </is>
      </c>
      <c r="C53" t="n">
        <v>16376.86773605637</v>
      </c>
      <c r="D53" t="n">
        <v>7775.338513362492</v>
      </c>
      <c r="E53" t="n">
        <v>4923.803231494496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theme="1"/>
    <outlinePr summaryBelow="1" summaryRight="1"/>
    <pageSetUpPr/>
  </sheetPr>
  <dimension ref="A1:G51"/>
  <sheetViews>
    <sheetView tabSelected="1" workbookViewId="0">
      <selection activeCell="Q12" sqref="Q12"/>
    </sheetView>
  </sheetViews>
  <sheetFormatPr baseColWidth="8" defaultRowHeight="15"/>
  <cols>
    <col width="27.28515625" customWidth="1" min="2" max="2"/>
  </cols>
  <sheetData>
    <row r="1">
      <c r="A1" s="1" t="inlineStr">
        <is>
          <t>Parcela</t>
        </is>
      </c>
      <c r="B1" s="1" t="inlineStr">
        <is>
          <t>Data_Pagamento</t>
        </is>
      </c>
      <c r="C1" s="1" t="inlineStr">
        <is>
          <t>Prestação</t>
        </is>
      </c>
      <c r="D1" s="1" t="inlineStr">
        <is>
          <t>Juros</t>
        </is>
      </c>
      <c r="E1" s="1" t="inlineStr">
        <is>
          <t>Amortização</t>
        </is>
      </c>
      <c r="F1" s="1" t="inlineStr">
        <is>
          <t>Saldo_Devedor_Antes</t>
        </is>
      </c>
      <c r="G1" s="1" t="inlineStr">
        <is>
          <t>Saldo_Devedor_Depois</t>
        </is>
      </c>
    </row>
    <row r="2">
      <c r="A2" t="n">
        <v>3</v>
      </c>
      <c r="B2" s="2" t="n">
        <v>45383</v>
      </c>
      <c r="C2" t="n">
        <v>47073.47</v>
      </c>
      <c r="D2" t="n">
        <v>9254.82</v>
      </c>
      <c r="E2" t="n">
        <v>37818.65</v>
      </c>
      <c r="F2" t="n">
        <v>925482.3199999999</v>
      </c>
      <c r="G2" t="n">
        <v>887663.67</v>
      </c>
    </row>
    <row r="3">
      <c r="A3" t="n">
        <v>4</v>
      </c>
      <c r="B3" s="2" t="n">
        <v>45413</v>
      </c>
      <c r="C3" t="n">
        <v>47073.47</v>
      </c>
      <c r="D3" t="n">
        <v>8876.639999999999</v>
      </c>
      <c r="E3" t="n">
        <v>38196.84</v>
      </c>
      <c r="F3" t="n">
        <v>887663.67</v>
      </c>
      <c r="G3" t="n">
        <v>849466.84</v>
      </c>
    </row>
    <row r="4">
      <c r="A4" t="n">
        <v>5</v>
      </c>
      <c r="B4" s="2" t="n">
        <v>45444</v>
      </c>
      <c r="C4" t="n">
        <v>47073.47</v>
      </c>
      <c r="D4" t="n">
        <v>8494.67</v>
      </c>
      <c r="E4" t="n">
        <v>38578.8</v>
      </c>
      <c r="F4" t="n">
        <v>849466.84</v>
      </c>
      <c r="G4" t="n">
        <v>810888.03</v>
      </c>
    </row>
    <row r="5">
      <c r="A5" t="n">
        <v>6</v>
      </c>
      <c r="B5" s="2" t="n">
        <v>45474</v>
      </c>
      <c r="C5" t="n">
        <v>47073.47</v>
      </c>
      <c r="D5" t="n">
        <v>8108.88</v>
      </c>
      <c r="E5" t="n">
        <v>38964.59</v>
      </c>
      <c r="F5" t="n">
        <v>810888.03</v>
      </c>
      <c r="G5" t="n">
        <v>771923.4399999999</v>
      </c>
    </row>
    <row r="6">
      <c r="A6" t="n">
        <v>7</v>
      </c>
      <c r="B6" s="2" t="n">
        <v>45505</v>
      </c>
      <c r="C6" t="n">
        <v>47073.47</v>
      </c>
      <c r="D6" t="n">
        <v>7719.23</v>
      </c>
      <c r="E6" t="n">
        <v>39354.24</v>
      </c>
      <c r="F6" t="n">
        <v>771923.4399999999</v>
      </c>
      <c r="G6" t="n">
        <v>732569.2</v>
      </c>
    </row>
    <row r="7">
      <c r="A7" t="n">
        <v>8</v>
      </c>
      <c r="B7" s="2" t="n">
        <v>45536</v>
      </c>
      <c r="C7" t="n">
        <v>47073.47</v>
      </c>
      <c r="D7" t="n">
        <v>7325.69</v>
      </c>
      <c r="E7" t="n">
        <v>39747.78</v>
      </c>
      <c r="F7" t="n">
        <v>732569.2</v>
      </c>
      <c r="G7" t="n">
        <v>692821.42</v>
      </c>
    </row>
    <row r="8">
      <c r="A8" t="n">
        <v>9</v>
      </c>
      <c r="B8" s="2" t="n">
        <v>45566</v>
      </c>
      <c r="C8" t="n">
        <v>47073.47</v>
      </c>
      <c r="D8" t="n">
        <v>6928.21</v>
      </c>
      <c r="E8" t="n">
        <v>40145.26</v>
      </c>
      <c r="F8" t="n">
        <v>692821.42</v>
      </c>
      <c r="G8" t="n">
        <v>652676.16</v>
      </c>
    </row>
    <row r="9">
      <c r="A9" t="n">
        <v>10</v>
      </c>
      <c r="B9" s="2" t="n">
        <v>45597</v>
      </c>
      <c r="C9" t="n">
        <v>47073.47</v>
      </c>
      <c r="D9" t="n">
        <v>6526.76</v>
      </c>
      <c r="E9" t="n">
        <v>40546.71</v>
      </c>
      <c r="F9" t="n">
        <v>652676.16</v>
      </c>
      <c r="G9" t="n">
        <v>612129.45</v>
      </c>
    </row>
    <row r="10">
      <c r="A10" t="n">
        <v>11</v>
      </c>
      <c r="B10" s="2" t="n">
        <v>45627</v>
      </c>
      <c r="C10" t="n">
        <v>47073.47</v>
      </c>
      <c r="D10" t="n">
        <v>6121.29</v>
      </c>
      <c r="E10" t="n">
        <v>40952.18</v>
      </c>
      <c r="F10" t="n">
        <v>612129.45</v>
      </c>
      <c r="G10" t="n">
        <v>571177.28</v>
      </c>
    </row>
    <row r="11">
      <c r="A11" t="n">
        <v>12</v>
      </c>
      <c r="B11" s="2" t="n">
        <v>45658</v>
      </c>
      <c r="C11" t="n">
        <v>47073.47</v>
      </c>
      <c r="D11" t="n">
        <v>5711.77</v>
      </c>
      <c r="E11" t="n">
        <v>41361.7</v>
      </c>
      <c r="F11" t="n">
        <v>571177.28</v>
      </c>
      <c r="G11" t="n">
        <v>529815.58</v>
      </c>
    </row>
    <row r="12">
      <c r="A12" t="n">
        <v>13</v>
      </c>
      <c r="B12" s="2" t="n">
        <v>45689</v>
      </c>
      <c r="C12" t="n">
        <v>47073.47</v>
      </c>
      <c r="D12" t="n">
        <v>5298.16</v>
      </c>
      <c r="E12" t="n">
        <v>41775.32</v>
      </c>
      <c r="F12" t="n">
        <v>529815.58</v>
      </c>
      <c r="G12" t="n">
        <v>488040.26</v>
      </c>
    </row>
    <row r="13">
      <c r="A13" t="n">
        <v>14</v>
      </c>
      <c r="B13" s="2" t="n">
        <v>45717</v>
      </c>
      <c r="C13" t="n">
        <v>47073.47</v>
      </c>
      <c r="D13" t="n">
        <v>4880.4</v>
      </c>
      <c r="E13" t="n">
        <v>42193.07</v>
      </c>
      <c r="F13" t="n">
        <v>488040.26</v>
      </c>
      <c r="G13" t="n">
        <v>445847.19</v>
      </c>
    </row>
    <row r="14">
      <c r="A14" t="n">
        <v>15</v>
      </c>
      <c r="B14" s="2" t="n">
        <v>45748</v>
      </c>
      <c r="C14" t="n">
        <v>47073.47</v>
      </c>
      <c r="D14" t="n">
        <v>4458.47</v>
      </c>
      <c r="E14" t="n">
        <v>42615</v>
      </c>
      <c r="F14" t="n">
        <v>445847.19</v>
      </c>
      <c r="G14" t="n">
        <v>403232.19</v>
      </c>
    </row>
    <row r="15">
      <c r="A15" t="n">
        <v>16</v>
      </c>
      <c r="B15" s="2" t="n">
        <v>45778</v>
      </c>
      <c r="C15" t="n">
        <v>47073.47</v>
      </c>
      <c r="D15" t="n">
        <v>4032.32</v>
      </c>
      <c r="E15" t="n">
        <v>43041.15</v>
      </c>
      <c r="F15" t="n">
        <v>403232.19</v>
      </c>
      <c r="G15" t="n">
        <v>360191.04</v>
      </c>
    </row>
    <row r="16">
      <c r="A16" t="n">
        <v>17</v>
      </c>
      <c r="B16" s="2" t="n">
        <v>45809</v>
      </c>
      <c r="C16" t="n">
        <v>47073.47</v>
      </c>
      <c r="D16" t="n">
        <v>3601.91</v>
      </c>
      <c r="E16" t="n">
        <v>43471.56</v>
      </c>
      <c r="F16" t="n">
        <v>360191.04</v>
      </c>
      <c r="G16" t="n">
        <v>316719.48</v>
      </c>
    </row>
    <row r="17">
      <c r="A17" t="n">
        <v>18</v>
      </c>
      <c r="B17" s="2" t="n">
        <v>45839</v>
      </c>
      <c r="C17" t="n">
        <v>47073.47</v>
      </c>
      <c r="D17" t="n">
        <v>3167.19</v>
      </c>
      <c r="E17" t="n">
        <v>43906.28</v>
      </c>
      <c r="F17" t="n">
        <v>316719.48</v>
      </c>
      <c r="G17" t="n">
        <v>272813.2</v>
      </c>
    </row>
    <row r="18">
      <c r="A18" t="n">
        <v>19</v>
      </c>
      <c r="B18" s="2" t="n">
        <v>45870</v>
      </c>
      <c r="C18" t="n">
        <v>47073.47</v>
      </c>
      <c r="D18" t="n">
        <v>2728.13</v>
      </c>
      <c r="E18" t="n">
        <v>44345.34</v>
      </c>
      <c r="F18" t="n">
        <v>272813.2</v>
      </c>
      <c r="G18" t="n">
        <v>228467.86</v>
      </c>
    </row>
    <row r="19">
      <c r="A19" t="n">
        <v>20</v>
      </c>
      <c r="B19" s="2" t="n">
        <v>45901</v>
      </c>
      <c r="C19" t="n">
        <v>47073.47</v>
      </c>
      <c r="D19" t="n">
        <v>2284.68</v>
      </c>
      <c r="E19" t="n">
        <v>44788.79</v>
      </c>
      <c r="F19" t="n">
        <v>228467.86</v>
      </c>
      <c r="G19" t="n">
        <v>183679.07</v>
      </c>
    </row>
    <row r="20">
      <c r="A20" t="n">
        <v>21</v>
      </c>
      <c r="B20" s="2" t="n">
        <v>45931</v>
      </c>
      <c r="C20" t="n">
        <v>47073.47</v>
      </c>
      <c r="D20" t="n">
        <v>1836.79</v>
      </c>
      <c r="E20" t="n">
        <v>45236.68</v>
      </c>
      <c r="F20" t="n">
        <v>183679.07</v>
      </c>
      <c r="G20" t="n">
        <v>138442.39</v>
      </c>
    </row>
    <row r="21">
      <c r="A21" t="n">
        <v>22</v>
      </c>
      <c r="B21" s="2" t="n">
        <v>45962</v>
      </c>
      <c r="C21" t="n">
        <v>47073.47</v>
      </c>
      <c r="D21" t="n">
        <v>1384.42</v>
      </c>
      <c r="E21" t="n">
        <v>45689.05</v>
      </c>
      <c r="F21" t="n">
        <v>138442.39</v>
      </c>
      <c r="G21" t="n">
        <v>92753.34</v>
      </c>
    </row>
    <row r="22">
      <c r="A22" t="n">
        <v>23</v>
      </c>
      <c r="B22" s="2" t="n">
        <v>45992</v>
      </c>
      <c r="C22" t="n">
        <v>47073.47</v>
      </c>
      <c r="D22" t="n">
        <v>927.53</v>
      </c>
      <c r="E22" t="n">
        <v>46145.94</v>
      </c>
      <c r="F22" t="n">
        <v>92753.34</v>
      </c>
      <c r="G22" t="n">
        <v>46607.4</v>
      </c>
    </row>
    <row r="23">
      <c r="A23" t="n">
        <v>24</v>
      </c>
      <c r="B23" s="2" t="n">
        <v>46023</v>
      </c>
      <c r="C23" t="n">
        <v>47073.47</v>
      </c>
      <c r="D23" t="n">
        <v>466.07</v>
      </c>
      <c r="E23" t="n">
        <v>46607.4</v>
      </c>
      <c r="F23" t="n">
        <v>46607.4</v>
      </c>
      <c r="G23" t="n">
        <v>0</v>
      </c>
    </row>
    <row r="24">
      <c r="A24" s="2" t="n"/>
    </row>
    <row r="25">
      <c r="A25" s="2" t="n"/>
    </row>
    <row r="26">
      <c r="A26" s="2" t="n"/>
    </row>
    <row r="27">
      <c r="A27" s="2" t="n"/>
    </row>
    <row r="28">
      <c r="A28" s="2" t="n"/>
    </row>
    <row r="29">
      <c r="A29" s="2" t="n"/>
    </row>
    <row r="30">
      <c r="A30" s="2" t="n"/>
    </row>
    <row r="31">
      <c r="A31" s="2" t="n"/>
    </row>
    <row r="32">
      <c r="A32" s="2" t="n"/>
    </row>
    <row r="33">
      <c r="A33" s="2" t="n"/>
    </row>
    <row r="34">
      <c r="A34" s="2" t="n"/>
    </row>
    <row r="35">
      <c r="A35" s="2" t="n"/>
    </row>
    <row r="36">
      <c r="A36" s="2" t="n"/>
    </row>
    <row r="37">
      <c r="A37" s="2" t="n"/>
    </row>
    <row r="38">
      <c r="A38" s="2" t="n"/>
    </row>
    <row r="39">
      <c r="A39" s="2" t="n"/>
    </row>
    <row r="40">
      <c r="A40" s="2" t="n"/>
    </row>
    <row r="41">
      <c r="A41" s="2" t="n"/>
    </row>
    <row r="42">
      <c r="A42" s="2" t="n"/>
    </row>
    <row r="43">
      <c r="A43" s="2" t="n"/>
    </row>
    <row r="44">
      <c r="A44" s="2" t="n"/>
    </row>
    <row r="45">
      <c r="A45" s="2" t="n"/>
    </row>
    <row r="46">
      <c r="A46" s="2" t="n"/>
    </row>
    <row r="47">
      <c r="A47" s="2" t="n"/>
    </row>
    <row r="48">
      <c r="A48" s="2" t="n"/>
    </row>
    <row r="49">
      <c r="A49" s="2" t="n"/>
    </row>
    <row r="50">
      <c r="A50" s="2" t="n"/>
    </row>
    <row r="51">
      <c r="A51" s="2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theme="1"/>
    <outlinePr summaryBelow="1" summaryRight="1"/>
    <pageSetUpPr/>
  </sheetPr>
  <dimension ref="A1:C521"/>
  <sheetViews>
    <sheetView workbookViewId="0">
      <selection activeCell="J29" sqref="J29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Valor</t>
        </is>
      </c>
      <c r="C1" s="1" t="inlineStr">
        <is>
          <t>Mês</t>
        </is>
      </c>
    </row>
    <row r="2">
      <c r="A2" t="inlineStr">
        <is>
          <t>Armazenagem</t>
        </is>
      </c>
      <c r="B2" t="n">
        <v>4542.293941507342</v>
      </c>
      <c r="C2" s="2" t="n">
        <v>45292</v>
      </c>
    </row>
    <row r="3">
      <c r="A3" t="inlineStr">
        <is>
          <t>Frete</t>
        </is>
      </c>
      <c r="B3" t="n">
        <v>3502.042498735571</v>
      </c>
      <c r="C3" s="2" t="n">
        <v>45292</v>
      </c>
    </row>
    <row r="4">
      <c r="A4" t="inlineStr">
        <is>
          <t>Frete</t>
        </is>
      </c>
      <c r="B4" t="n">
        <v>5294.756089307242</v>
      </c>
      <c r="C4" s="2" t="n">
        <v>45292</v>
      </c>
    </row>
    <row r="5">
      <c r="A5" t="inlineStr">
        <is>
          <t>Armazenagem</t>
        </is>
      </c>
      <c r="B5" t="n">
        <v>1490.514639092484</v>
      </c>
      <c r="C5" s="2" t="n">
        <v>45292</v>
      </c>
    </row>
    <row r="6">
      <c r="A6" t="inlineStr">
        <is>
          <t>Armazenagem</t>
        </is>
      </c>
      <c r="B6" t="n">
        <v>8599.303093453671</v>
      </c>
      <c r="C6" s="2" t="n">
        <v>45292</v>
      </c>
    </row>
    <row r="7">
      <c r="A7" t="inlineStr">
        <is>
          <t>Frete</t>
        </is>
      </c>
      <c r="B7" t="n">
        <v>1411.716842083196</v>
      </c>
      <c r="C7" s="2" t="n">
        <v>45292</v>
      </c>
    </row>
    <row r="8">
      <c r="A8" t="inlineStr">
        <is>
          <t>Frete</t>
        </is>
      </c>
      <c r="B8" t="n">
        <v>3995.652015254865</v>
      </c>
      <c r="C8" s="2" t="n">
        <v>45292</v>
      </c>
    </row>
    <row r="9">
      <c r="A9" t="inlineStr">
        <is>
          <t>Matéria-prima</t>
        </is>
      </c>
      <c r="B9" t="n">
        <v>136680.4162089445</v>
      </c>
      <c r="C9" s="2" t="n">
        <v>45292</v>
      </c>
    </row>
    <row r="10">
      <c r="A10" t="inlineStr">
        <is>
          <t>Matéria-prima</t>
        </is>
      </c>
      <c r="B10" t="n">
        <v>111277.1089891538</v>
      </c>
      <c r="C10" s="2" t="n">
        <v>45292</v>
      </c>
    </row>
    <row r="11">
      <c r="A11" t="inlineStr">
        <is>
          <t>Frete</t>
        </is>
      </c>
      <c r="B11" t="n">
        <v>3576.240453082236</v>
      </c>
      <c r="C11" s="2" t="n">
        <v>45292</v>
      </c>
    </row>
    <row r="12">
      <c r="A12" t="inlineStr">
        <is>
          <t>Armazenagem</t>
        </is>
      </c>
      <c r="B12" t="n">
        <v>3323.31202685579</v>
      </c>
      <c r="C12" s="2" t="n">
        <v>45292</v>
      </c>
    </row>
    <row r="13">
      <c r="A13" t="inlineStr">
        <is>
          <t>Armazenagem</t>
        </is>
      </c>
      <c r="B13" t="n">
        <v>1144.722830398629</v>
      </c>
      <c r="C13" s="2" t="n">
        <v>45292</v>
      </c>
    </row>
    <row r="14">
      <c r="A14" t="inlineStr">
        <is>
          <t>Armazenagem</t>
        </is>
      </c>
      <c r="B14" t="n">
        <v>7222.285777077803</v>
      </c>
      <c r="C14" s="2" t="n">
        <v>45292</v>
      </c>
    </row>
    <row r="15">
      <c r="A15" t="inlineStr">
        <is>
          <t>Armazenagem</t>
        </is>
      </c>
      <c r="B15" t="n">
        <v>1529.295518723924</v>
      </c>
      <c r="C15" s="2" t="n">
        <v>45292</v>
      </c>
    </row>
    <row r="16">
      <c r="A16" t="inlineStr">
        <is>
          <t>Matéria-prima</t>
        </is>
      </c>
      <c r="B16" t="n">
        <v>85067.46190968256</v>
      </c>
      <c r="C16" s="2" t="n">
        <v>45292</v>
      </c>
    </row>
    <row r="17">
      <c r="A17" t="inlineStr">
        <is>
          <t>Frete</t>
        </is>
      </c>
      <c r="B17" t="n">
        <v>9566.67335881004</v>
      </c>
      <c r="C17" s="2" t="n">
        <v>45292</v>
      </c>
    </row>
    <row r="18">
      <c r="A18" t="inlineStr">
        <is>
          <t>Armazenagem</t>
        </is>
      </c>
      <c r="B18" t="n">
        <v>2063.325968479194</v>
      </c>
      <c r="C18" s="2" t="n">
        <v>45292</v>
      </c>
    </row>
    <row r="19">
      <c r="A19" t="inlineStr">
        <is>
          <t>Matéria-prima</t>
        </is>
      </c>
      <c r="B19" t="n">
        <v>131879.9238700292</v>
      </c>
      <c r="C19" s="2" t="n">
        <v>45292</v>
      </c>
    </row>
    <row r="20">
      <c r="A20" t="inlineStr">
        <is>
          <t>Armazenagem</t>
        </is>
      </c>
      <c r="B20" t="n">
        <v>9824.982949276424</v>
      </c>
      <c r="C20" s="2" t="n">
        <v>45292</v>
      </c>
    </row>
    <row r="21">
      <c r="A21" t="inlineStr">
        <is>
          <t>Frete</t>
        </is>
      </c>
      <c r="B21" t="n">
        <v>1641.349830905269</v>
      </c>
      <c r="C21" s="2" t="n">
        <v>45292</v>
      </c>
    </row>
    <row r="22">
      <c r="A22" t="inlineStr">
        <is>
          <t>Matéria-prima</t>
        </is>
      </c>
      <c r="B22" t="n">
        <v>64506.00122479752</v>
      </c>
      <c r="C22" s="2" t="n">
        <v>45323</v>
      </c>
    </row>
    <row r="23">
      <c r="A23" t="inlineStr">
        <is>
          <t>Frete</t>
        </is>
      </c>
      <c r="B23" t="n">
        <v>5641.495379903827</v>
      </c>
      <c r="C23" s="2" t="n">
        <v>45323</v>
      </c>
    </row>
    <row r="24">
      <c r="A24" t="inlineStr">
        <is>
          <t>Frete</t>
        </is>
      </c>
      <c r="B24" t="n">
        <v>9077.320731112306</v>
      </c>
      <c r="C24" s="2" t="n">
        <v>45323</v>
      </c>
    </row>
    <row r="25">
      <c r="A25" t="inlineStr">
        <is>
          <t>Matéria-prima</t>
        </is>
      </c>
      <c r="B25" t="n">
        <v>44564.41228285274</v>
      </c>
      <c r="C25" s="2" t="n">
        <v>45323</v>
      </c>
    </row>
    <row r="26">
      <c r="A26" t="inlineStr">
        <is>
          <t>Matéria-prima</t>
        </is>
      </c>
      <c r="B26" t="n">
        <v>50375.16864682014</v>
      </c>
      <c r="C26" s="2" t="n">
        <v>45323</v>
      </c>
    </row>
    <row r="27">
      <c r="A27" t="inlineStr">
        <is>
          <t>Matéria-prima</t>
        </is>
      </c>
      <c r="B27" t="n">
        <v>42801.85011183356</v>
      </c>
      <c r="C27" s="2" t="n">
        <v>45323</v>
      </c>
    </row>
    <row r="28">
      <c r="A28" t="inlineStr">
        <is>
          <t>Matéria-prima</t>
        </is>
      </c>
      <c r="B28" t="n">
        <v>63327.54433967031</v>
      </c>
      <c r="C28" s="2" t="n">
        <v>45323</v>
      </c>
    </row>
    <row r="29">
      <c r="A29" t="inlineStr">
        <is>
          <t>Matéria-prima</t>
        </is>
      </c>
      <c r="B29" t="n">
        <v>54970.23481303691</v>
      </c>
      <c r="C29" s="2" t="n">
        <v>45323</v>
      </c>
    </row>
    <row r="30">
      <c r="A30" t="inlineStr">
        <is>
          <t>Matéria-prima</t>
        </is>
      </c>
      <c r="B30" t="n">
        <v>41360.65997954656</v>
      </c>
      <c r="C30" s="2" t="n">
        <v>45323</v>
      </c>
    </row>
    <row r="31">
      <c r="A31" t="inlineStr">
        <is>
          <t>Matéria-prima</t>
        </is>
      </c>
      <c r="B31" t="n">
        <v>63562.29145929901</v>
      </c>
      <c r="C31" s="2" t="n">
        <v>45323</v>
      </c>
    </row>
    <row r="32">
      <c r="A32" t="inlineStr">
        <is>
          <t>Armazenagem</t>
        </is>
      </c>
      <c r="B32" t="n">
        <v>3258.512683846945</v>
      </c>
      <c r="C32" s="2" t="n">
        <v>45323</v>
      </c>
    </row>
    <row r="33">
      <c r="A33" t="inlineStr">
        <is>
          <t>Frete</t>
        </is>
      </c>
      <c r="B33" t="n">
        <v>2484.597805382229</v>
      </c>
      <c r="C33" s="2" t="n">
        <v>45323</v>
      </c>
    </row>
    <row r="34">
      <c r="A34" t="inlineStr">
        <is>
          <t>Matéria-prima</t>
        </is>
      </c>
      <c r="B34" t="n">
        <v>18265.60674112461</v>
      </c>
      <c r="C34" s="2" t="n">
        <v>45323</v>
      </c>
    </row>
    <row r="35">
      <c r="A35" t="inlineStr">
        <is>
          <t>Armazenagem</t>
        </is>
      </c>
      <c r="B35" t="n">
        <v>4039.278132958094</v>
      </c>
      <c r="C35" s="2" t="n">
        <v>45323</v>
      </c>
    </row>
    <row r="36">
      <c r="A36" t="inlineStr">
        <is>
          <t>Armazenagem</t>
        </is>
      </c>
      <c r="B36" t="n">
        <v>3200.472275448954</v>
      </c>
      <c r="C36" s="2" t="n">
        <v>45323</v>
      </c>
    </row>
    <row r="37">
      <c r="A37" t="inlineStr">
        <is>
          <t>Armazenagem</t>
        </is>
      </c>
      <c r="B37" t="n">
        <v>9284.7950844857</v>
      </c>
      <c r="C37" s="2" t="n">
        <v>45323</v>
      </c>
    </row>
    <row r="38">
      <c r="A38" t="inlineStr">
        <is>
          <t>Frete</t>
        </is>
      </c>
      <c r="B38" t="n">
        <v>2031.340025691539</v>
      </c>
      <c r="C38" s="2" t="n">
        <v>45323</v>
      </c>
    </row>
    <row r="39">
      <c r="A39" t="inlineStr">
        <is>
          <t>Matéria-prima</t>
        </is>
      </c>
      <c r="B39" t="n">
        <v>52735.40723453361</v>
      </c>
      <c r="C39" s="2" t="n">
        <v>45323</v>
      </c>
    </row>
    <row r="40">
      <c r="A40" t="inlineStr">
        <is>
          <t>Armazenagem</t>
        </is>
      </c>
      <c r="B40" t="n">
        <v>2765.149550108052</v>
      </c>
      <c r="C40" s="2" t="n">
        <v>45323</v>
      </c>
    </row>
    <row r="41">
      <c r="A41" t="inlineStr">
        <is>
          <t>Frete</t>
        </is>
      </c>
      <c r="B41" t="n">
        <v>8858.406768379082</v>
      </c>
      <c r="C41" s="2" t="n">
        <v>45323</v>
      </c>
    </row>
    <row r="42">
      <c r="A42" t="inlineStr">
        <is>
          <t>Frete</t>
        </is>
      </c>
      <c r="B42" t="n">
        <v>9559.574536027185</v>
      </c>
      <c r="C42" s="2" t="n">
        <v>45352</v>
      </c>
    </row>
    <row r="43">
      <c r="A43" t="inlineStr">
        <is>
          <t>Frete</t>
        </is>
      </c>
      <c r="B43" t="n">
        <v>5196.136077175856</v>
      </c>
      <c r="C43" s="2" t="n">
        <v>45352</v>
      </c>
    </row>
    <row r="44">
      <c r="A44" t="inlineStr">
        <is>
          <t>Armazenagem</t>
        </is>
      </c>
      <c r="B44" t="n">
        <v>8835.829026007561</v>
      </c>
      <c r="C44" s="2" t="n">
        <v>45352</v>
      </c>
    </row>
    <row r="45">
      <c r="A45" t="inlineStr">
        <is>
          <t>Matéria-prima</t>
        </is>
      </c>
      <c r="B45" t="n">
        <v>12626.68446662242</v>
      </c>
      <c r="C45" s="2" t="n">
        <v>45352</v>
      </c>
    </row>
    <row r="46">
      <c r="A46" t="inlineStr">
        <is>
          <t>Armazenagem</t>
        </is>
      </c>
      <c r="B46" t="n">
        <v>8315.532873191281</v>
      </c>
      <c r="C46" s="2" t="n">
        <v>45352</v>
      </c>
    </row>
    <row r="47">
      <c r="A47" t="inlineStr">
        <is>
          <t>Armazenagem</t>
        </is>
      </c>
      <c r="B47" t="n">
        <v>3111.901421419327</v>
      </c>
      <c r="C47" s="2" t="n">
        <v>45352</v>
      </c>
    </row>
    <row r="48">
      <c r="A48" t="inlineStr">
        <is>
          <t>Matéria-prima</t>
        </is>
      </c>
      <c r="B48" t="n">
        <v>100289.7010253141</v>
      </c>
      <c r="C48" s="2" t="n">
        <v>45352</v>
      </c>
    </row>
    <row r="49">
      <c r="A49" t="inlineStr">
        <is>
          <t>Matéria-prima</t>
        </is>
      </c>
      <c r="B49" t="n">
        <v>12236.17321580022</v>
      </c>
      <c r="C49" s="2" t="n">
        <v>45352</v>
      </c>
    </row>
    <row r="50">
      <c r="A50" t="inlineStr">
        <is>
          <t>Matéria-prima</t>
        </is>
      </c>
      <c r="B50" t="n">
        <v>66088.25193355721</v>
      </c>
      <c r="C50" s="2" t="n">
        <v>45352</v>
      </c>
    </row>
    <row r="51">
      <c r="A51" t="inlineStr">
        <is>
          <t>Frete</t>
        </is>
      </c>
      <c r="B51" t="n">
        <v>7758.395073307425</v>
      </c>
      <c r="C51" s="2" t="n">
        <v>45352</v>
      </c>
    </row>
    <row r="52">
      <c r="A52" t="inlineStr">
        <is>
          <t>Matéria-prima</t>
        </is>
      </c>
      <c r="B52" t="n">
        <v>37225.44184431103</v>
      </c>
      <c r="C52" s="2" t="n">
        <v>45352</v>
      </c>
    </row>
    <row r="53">
      <c r="A53" t="inlineStr">
        <is>
          <t>Armazenagem</t>
        </is>
      </c>
      <c r="B53" t="n">
        <v>2799.569208368179</v>
      </c>
      <c r="C53" s="2" t="n">
        <v>45352</v>
      </c>
    </row>
    <row r="54">
      <c r="A54" t="inlineStr">
        <is>
          <t>Matéria-prima</t>
        </is>
      </c>
      <c r="B54" t="n">
        <v>20286.70973788387</v>
      </c>
      <c r="C54" s="2" t="n">
        <v>45352</v>
      </c>
    </row>
    <row r="55">
      <c r="A55" t="inlineStr">
        <is>
          <t>Armazenagem</t>
        </is>
      </c>
      <c r="B55" t="n">
        <v>3972.615473228979</v>
      </c>
      <c r="C55" s="2" t="n">
        <v>45352</v>
      </c>
    </row>
    <row r="56">
      <c r="A56" t="inlineStr">
        <is>
          <t>Frete</t>
        </is>
      </c>
      <c r="B56" t="n">
        <v>6026.6299483177</v>
      </c>
      <c r="C56" s="2" t="n">
        <v>45352</v>
      </c>
    </row>
    <row r="57">
      <c r="A57" t="inlineStr">
        <is>
          <t>Armazenagem</t>
        </is>
      </c>
      <c r="B57" t="n">
        <v>2119.425939666267</v>
      </c>
      <c r="C57" s="2" t="n">
        <v>45352</v>
      </c>
    </row>
    <row r="58">
      <c r="A58" t="inlineStr">
        <is>
          <t>Armazenagem</t>
        </is>
      </c>
      <c r="B58" t="n">
        <v>4414.919185483829</v>
      </c>
      <c r="C58" s="2" t="n">
        <v>45352</v>
      </c>
    </row>
    <row r="59">
      <c r="A59" t="inlineStr">
        <is>
          <t>Matéria-prima</t>
        </is>
      </c>
      <c r="B59" t="n">
        <v>13007.70469940738</v>
      </c>
      <c r="C59" s="2" t="n">
        <v>45352</v>
      </c>
    </row>
    <row r="60">
      <c r="A60" t="inlineStr">
        <is>
          <t>Matéria-prima</t>
        </is>
      </c>
      <c r="B60" t="n">
        <v>91555.77737689465</v>
      </c>
      <c r="C60" s="2" t="n">
        <v>45352</v>
      </c>
    </row>
    <row r="61">
      <c r="A61" t="inlineStr">
        <is>
          <t>Armazenagem</t>
        </is>
      </c>
      <c r="B61" t="n">
        <v>2230.348719220085</v>
      </c>
      <c r="C61" s="2" t="n">
        <v>45352</v>
      </c>
    </row>
    <row r="62">
      <c r="A62" t="inlineStr">
        <is>
          <t>Matéria-prima</t>
        </is>
      </c>
      <c r="B62" t="n">
        <v>39200.92303349583</v>
      </c>
      <c r="C62" s="2" t="n">
        <v>45383</v>
      </c>
    </row>
    <row r="63">
      <c r="A63" t="inlineStr">
        <is>
          <t>Frete</t>
        </is>
      </c>
      <c r="B63" t="n">
        <v>1262.163924896314</v>
      </c>
      <c r="C63" s="2" t="n">
        <v>45383</v>
      </c>
    </row>
    <row r="64">
      <c r="A64" t="inlineStr">
        <is>
          <t>Frete</t>
        </is>
      </c>
      <c r="B64" t="n">
        <v>4903.718898254109</v>
      </c>
      <c r="C64" s="2" t="n">
        <v>45383</v>
      </c>
    </row>
    <row r="65">
      <c r="A65" t="inlineStr">
        <is>
          <t>Matéria-prima</t>
        </is>
      </c>
      <c r="B65" t="n">
        <v>92651.66426315701</v>
      </c>
      <c r="C65" s="2" t="n">
        <v>45383</v>
      </c>
    </row>
    <row r="66">
      <c r="A66" t="inlineStr">
        <is>
          <t>Frete</t>
        </is>
      </c>
      <c r="B66" t="n">
        <v>4550.93066071773</v>
      </c>
      <c r="C66" s="2" t="n">
        <v>45383</v>
      </c>
    </row>
    <row r="67">
      <c r="A67" t="inlineStr">
        <is>
          <t>Matéria-prima</t>
        </is>
      </c>
      <c r="B67" t="n">
        <v>29231.74304868801</v>
      </c>
      <c r="C67" s="2" t="n">
        <v>45383</v>
      </c>
    </row>
    <row r="68">
      <c r="A68" t="inlineStr">
        <is>
          <t>Armazenagem</t>
        </is>
      </c>
      <c r="B68" t="n">
        <v>7732.549739644569</v>
      </c>
      <c r="C68" s="2" t="n">
        <v>45383</v>
      </c>
    </row>
    <row r="69">
      <c r="A69" t="inlineStr">
        <is>
          <t>Armazenagem</t>
        </is>
      </c>
      <c r="B69" t="n">
        <v>8041.50144046255</v>
      </c>
      <c r="C69" s="2" t="n">
        <v>45383</v>
      </c>
    </row>
    <row r="70">
      <c r="A70" t="inlineStr">
        <is>
          <t>Frete</t>
        </is>
      </c>
      <c r="B70" t="n">
        <v>2629.030582706588</v>
      </c>
      <c r="C70" s="2" t="n">
        <v>45383</v>
      </c>
    </row>
    <row r="71">
      <c r="A71" t="inlineStr">
        <is>
          <t>Matéria-prima</t>
        </is>
      </c>
      <c r="B71" t="n">
        <v>86001.99441993503</v>
      </c>
      <c r="C71" s="2" t="n">
        <v>45383</v>
      </c>
    </row>
    <row r="72">
      <c r="A72" t="inlineStr">
        <is>
          <t>Matéria-prima</t>
        </is>
      </c>
      <c r="B72" t="n">
        <v>102940.5972726084</v>
      </c>
      <c r="C72" s="2" t="n">
        <v>45383</v>
      </c>
    </row>
    <row r="73">
      <c r="A73" t="inlineStr">
        <is>
          <t>Frete</t>
        </is>
      </c>
      <c r="B73" t="n">
        <v>2564.122765003997</v>
      </c>
      <c r="C73" s="2" t="n">
        <v>45383</v>
      </c>
    </row>
    <row r="74">
      <c r="A74" t="inlineStr">
        <is>
          <t>Armazenagem</t>
        </is>
      </c>
      <c r="B74" t="n">
        <v>7884.661774282794</v>
      </c>
      <c r="C74" s="2" t="n">
        <v>45383</v>
      </c>
    </row>
    <row r="75">
      <c r="A75" t="inlineStr">
        <is>
          <t>Frete</t>
        </is>
      </c>
      <c r="B75" t="n">
        <v>7335.433640503139</v>
      </c>
      <c r="C75" s="2" t="n">
        <v>45383</v>
      </c>
    </row>
    <row r="76">
      <c r="A76" t="inlineStr">
        <is>
          <t>Armazenagem</t>
        </is>
      </c>
      <c r="B76" t="n">
        <v>5267.45021822878</v>
      </c>
      <c r="C76" s="2" t="n">
        <v>45383</v>
      </c>
    </row>
    <row r="77">
      <c r="A77" t="inlineStr">
        <is>
          <t>Matéria-prima</t>
        </is>
      </c>
      <c r="B77" t="n">
        <v>17560.36421364463</v>
      </c>
      <c r="C77" s="2" t="n">
        <v>45383</v>
      </c>
    </row>
    <row r="78">
      <c r="A78" t="inlineStr">
        <is>
          <t>Armazenagem</t>
        </is>
      </c>
      <c r="B78" t="n">
        <v>1757.310876269115</v>
      </c>
      <c r="C78" s="2" t="n">
        <v>45383</v>
      </c>
    </row>
    <row r="79">
      <c r="A79" t="inlineStr">
        <is>
          <t>Frete</t>
        </is>
      </c>
      <c r="B79" t="n">
        <v>8601.249000948101</v>
      </c>
      <c r="C79" s="2" t="n">
        <v>45383</v>
      </c>
    </row>
    <row r="80">
      <c r="A80" t="inlineStr">
        <is>
          <t>Matéria-prima</t>
        </is>
      </c>
      <c r="B80" t="n">
        <v>107054.2437840621</v>
      </c>
      <c r="C80" s="2" t="n">
        <v>45383</v>
      </c>
    </row>
    <row r="81">
      <c r="A81" t="inlineStr">
        <is>
          <t>Frete</t>
        </is>
      </c>
      <c r="B81" t="n">
        <v>7049.25986324344</v>
      </c>
      <c r="C81" s="2" t="n">
        <v>45383</v>
      </c>
    </row>
    <row r="82">
      <c r="A82" t="inlineStr">
        <is>
          <t>Frete</t>
        </is>
      </c>
      <c r="B82" t="n">
        <v>5024.43310169083</v>
      </c>
      <c r="C82" s="2" t="n">
        <v>45413</v>
      </c>
    </row>
    <row r="83">
      <c r="A83" t="inlineStr">
        <is>
          <t>Armazenagem</t>
        </is>
      </c>
      <c r="B83" t="n">
        <v>6798.648061936788</v>
      </c>
      <c r="C83" s="2" t="n">
        <v>45413</v>
      </c>
    </row>
    <row r="84">
      <c r="A84" t="inlineStr">
        <is>
          <t>Frete</t>
        </is>
      </c>
      <c r="B84" t="n">
        <v>6330.683561211199</v>
      </c>
      <c r="C84" s="2" t="n">
        <v>45413</v>
      </c>
    </row>
    <row r="85">
      <c r="A85" t="inlineStr">
        <is>
          <t>Armazenagem</t>
        </is>
      </c>
      <c r="B85" t="n">
        <v>4475.787891569472</v>
      </c>
      <c r="C85" s="2" t="n">
        <v>45413</v>
      </c>
    </row>
    <row r="86">
      <c r="A86" t="inlineStr">
        <is>
          <t>Matéria-prima</t>
        </is>
      </c>
      <c r="B86" t="n">
        <v>76250.45782960515</v>
      </c>
      <c r="C86" s="2" t="n">
        <v>45413</v>
      </c>
    </row>
    <row r="87">
      <c r="A87" t="inlineStr">
        <is>
          <t>Armazenagem</t>
        </is>
      </c>
      <c r="B87" t="n">
        <v>8329.313937185481</v>
      </c>
      <c r="C87" s="2" t="n">
        <v>45413</v>
      </c>
    </row>
    <row r="88">
      <c r="A88" t="inlineStr">
        <is>
          <t>Matéria-prima</t>
        </is>
      </c>
      <c r="B88" t="n">
        <v>198733.4116954898</v>
      </c>
      <c r="C88" s="2" t="n">
        <v>45413</v>
      </c>
    </row>
    <row r="89">
      <c r="A89" t="inlineStr">
        <is>
          <t>Armazenagem</t>
        </is>
      </c>
      <c r="B89" t="n">
        <v>8305.313661542425</v>
      </c>
      <c r="C89" s="2" t="n">
        <v>45413</v>
      </c>
    </row>
    <row r="90">
      <c r="A90" t="inlineStr">
        <is>
          <t>Frete</t>
        </is>
      </c>
      <c r="B90" t="n">
        <v>3322.076997257763</v>
      </c>
      <c r="C90" s="2" t="n">
        <v>45413</v>
      </c>
    </row>
    <row r="91">
      <c r="A91" t="inlineStr">
        <is>
          <t>Armazenagem</t>
        </is>
      </c>
      <c r="B91" t="n">
        <v>1109.059422641574</v>
      </c>
      <c r="C91" s="2" t="n">
        <v>45413</v>
      </c>
    </row>
    <row r="92">
      <c r="A92" t="inlineStr">
        <is>
          <t>Armazenagem</t>
        </is>
      </c>
      <c r="B92" t="n">
        <v>2498.656892835458</v>
      </c>
      <c r="C92" s="2" t="n">
        <v>45413</v>
      </c>
    </row>
    <row r="93">
      <c r="A93" t="inlineStr">
        <is>
          <t>Matéria-prima</t>
        </is>
      </c>
      <c r="B93" t="n">
        <v>237415.7667074338</v>
      </c>
      <c r="C93" s="2" t="n">
        <v>45413</v>
      </c>
    </row>
    <row r="94">
      <c r="A94" t="inlineStr">
        <is>
          <t>Frete</t>
        </is>
      </c>
      <c r="B94" t="n">
        <v>9409.871987628903</v>
      </c>
      <c r="C94" s="2" t="n">
        <v>45413</v>
      </c>
    </row>
    <row r="95">
      <c r="A95" t="inlineStr">
        <is>
          <t>Armazenagem</t>
        </is>
      </c>
      <c r="B95" t="n">
        <v>1999.303853304727</v>
      </c>
      <c r="C95" s="2" t="n">
        <v>45413</v>
      </c>
    </row>
    <row r="96">
      <c r="A96" t="inlineStr">
        <is>
          <t>Frete</t>
        </is>
      </c>
      <c r="B96" t="n">
        <v>8617.046015261782</v>
      </c>
      <c r="C96" s="2" t="n">
        <v>45413</v>
      </c>
    </row>
    <row r="97">
      <c r="A97" t="inlineStr">
        <is>
          <t>Armazenagem</t>
        </is>
      </c>
      <c r="B97" t="n">
        <v>5737.812046664387</v>
      </c>
      <c r="C97" s="2" t="n">
        <v>45413</v>
      </c>
    </row>
    <row r="98">
      <c r="A98" t="inlineStr">
        <is>
          <t>Armazenagem</t>
        </is>
      </c>
      <c r="B98" t="n">
        <v>8368.10273903909</v>
      </c>
      <c r="C98" s="2" t="n">
        <v>45413</v>
      </c>
    </row>
    <row r="99">
      <c r="A99" t="inlineStr">
        <is>
          <t>Frete</t>
        </is>
      </c>
      <c r="B99" t="n">
        <v>3725.694992711935</v>
      </c>
      <c r="C99" s="2" t="n">
        <v>45413</v>
      </c>
    </row>
    <row r="100">
      <c r="A100" t="inlineStr">
        <is>
          <t>Armazenagem</t>
        </is>
      </c>
      <c r="B100" t="n">
        <v>8491.535049117754</v>
      </c>
      <c r="C100" s="2" t="n">
        <v>45413</v>
      </c>
    </row>
    <row r="101">
      <c r="A101" t="inlineStr">
        <is>
          <t>Frete</t>
        </is>
      </c>
      <c r="B101" t="n">
        <v>7900.84046414788</v>
      </c>
      <c r="C101" s="2" t="n">
        <v>45413</v>
      </c>
    </row>
    <row r="102">
      <c r="A102" t="inlineStr">
        <is>
          <t>Armazenagem</t>
        </is>
      </c>
      <c r="B102" t="n">
        <v>3124.472410676618</v>
      </c>
      <c r="C102" s="2" t="n">
        <v>45444</v>
      </c>
    </row>
    <row r="103">
      <c r="A103" t="inlineStr">
        <is>
          <t>Matéria-prima</t>
        </is>
      </c>
      <c r="B103" t="n">
        <v>24608.1721353003</v>
      </c>
      <c r="C103" s="2" t="n">
        <v>45444</v>
      </c>
    </row>
    <row r="104">
      <c r="A104" t="inlineStr">
        <is>
          <t>Frete</t>
        </is>
      </c>
      <c r="B104" t="n">
        <v>8738.878038284178</v>
      </c>
      <c r="C104" s="2" t="n">
        <v>45444</v>
      </c>
    </row>
    <row r="105">
      <c r="A105" t="inlineStr">
        <is>
          <t>Armazenagem</t>
        </is>
      </c>
      <c r="B105" t="n">
        <v>9576.48255027316</v>
      </c>
      <c r="C105" s="2" t="n">
        <v>45444</v>
      </c>
    </row>
    <row r="106">
      <c r="A106" t="inlineStr">
        <is>
          <t>Armazenagem</t>
        </is>
      </c>
      <c r="B106" t="n">
        <v>1375.460360978143</v>
      </c>
      <c r="C106" s="2" t="n">
        <v>45444</v>
      </c>
    </row>
    <row r="107">
      <c r="A107" t="inlineStr">
        <is>
          <t>Matéria-prima</t>
        </is>
      </c>
      <c r="B107" t="n">
        <v>82201.92642947381</v>
      </c>
      <c r="C107" s="2" t="n">
        <v>45444</v>
      </c>
    </row>
    <row r="108">
      <c r="A108" t="inlineStr">
        <is>
          <t>Frete</t>
        </is>
      </c>
      <c r="B108" t="n">
        <v>9103.815696340802</v>
      </c>
      <c r="C108" s="2" t="n">
        <v>45444</v>
      </c>
    </row>
    <row r="109">
      <c r="A109" t="inlineStr">
        <is>
          <t>Armazenagem</t>
        </is>
      </c>
      <c r="B109" t="n">
        <v>8644.768810413991</v>
      </c>
      <c r="C109" s="2" t="n">
        <v>45444</v>
      </c>
    </row>
    <row r="110">
      <c r="A110" t="inlineStr">
        <is>
          <t>Matéria-prima</t>
        </is>
      </c>
      <c r="B110" t="n">
        <v>104593.96533794</v>
      </c>
      <c r="C110" s="2" t="n">
        <v>45444</v>
      </c>
    </row>
    <row r="111">
      <c r="A111" t="inlineStr">
        <is>
          <t>Armazenagem</t>
        </is>
      </c>
      <c r="B111" t="n">
        <v>7788.827890255256</v>
      </c>
      <c r="C111" s="2" t="n">
        <v>45444</v>
      </c>
    </row>
    <row r="112">
      <c r="A112" t="inlineStr">
        <is>
          <t>Frete</t>
        </is>
      </c>
      <c r="B112" t="n">
        <v>4992.22910895201</v>
      </c>
      <c r="C112" s="2" t="n">
        <v>45444</v>
      </c>
    </row>
    <row r="113">
      <c r="A113" t="inlineStr">
        <is>
          <t>Armazenagem</t>
        </is>
      </c>
      <c r="B113" t="n">
        <v>3845.177516357148</v>
      </c>
      <c r="C113" s="2" t="n">
        <v>45444</v>
      </c>
    </row>
    <row r="114">
      <c r="A114" t="inlineStr">
        <is>
          <t>Armazenagem</t>
        </is>
      </c>
      <c r="B114" t="n">
        <v>3922.536115855522</v>
      </c>
      <c r="C114" s="2" t="n">
        <v>45444</v>
      </c>
    </row>
    <row r="115">
      <c r="A115" t="inlineStr">
        <is>
          <t>Armazenagem</t>
        </is>
      </c>
      <c r="B115" t="n">
        <v>7474.91951900423</v>
      </c>
      <c r="C115" s="2" t="n">
        <v>45444</v>
      </c>
    </row>
    <row r="116">
      <c r="A116" t="inlineStr">
        <is>
          <t>Armazenagem</t>
        </is>
      </c>
      <c r="B116" t="n">
        <v>7663.365705872487</v>
      </c>
      <c r="C116" s="2" t="n">
        <v>45444</v>
      </c>
    </row>
    <row r="117">
      <c r="A117" t="inlineStr">
        <is>
          <t>Matéria-prima</t>
        </is>
      </c>
      <c r="B117" t="n">
        <v>31234.47778067641</v>
      </c>
      <c r="C117" s="2" t="n">
        <v>45444</v>
      </c>
    </row>
    <row r="118">
      <c r="A118" t="inlineStr">
        <is>
          <t>Matéria-prima</t>
        </is>
      </c>
      <c r="B118" t="n">
        <v>95339.79009509097</v>
      </c>
      <c r="C118" s="2" t="n">
        <v>45444</v>
      </c>
    </row>
    <row r="119">
      <c r="A119" t="inlineStr">
        <is>
          <t>Frete</t>
        </is>
      </c>
      <c r="B119" t="n">
        <v>7391.33155377978</v>
      </c>
      <c r="C119" s="2" t="n">
        <v>45444</v>
      </c>
    </row>
    <row r="120">
      <c r="A120" t="inlineStr">
        <is>
          <t>Matéria-prima</t>
        </is>
      </c>
      <c r="B120" t="n">
        <v>66024.02748896474</v>
      </c>
      <c r="C120" s="2" t="n">
        <v>45444</v>
      </c>
    </row>
    <row r="121">
      <c r="A121" t="inlineStr">
        <is>
          <t>Matéria-prima</t>
        </is>
      </c>
      <c r="B121" t="n">
        <v>57267.11616984121</v>
      </c>
      <c r="C121" s="2" t="n">
        <v>45444</v>
      </c>
    </row>
    <row r="122">
      <c r="A122" t="inlineStr">
        <is>
          <t>Frete</t>
        </is>
      </c>
      <c r="B122" t="n">
        <v>5880.448690951632</v>
      </c>
      <c r="C122" s="2" t="n">
        <v>45474</v>
      </c>
    </row>
    <row r="123">
      <c r="A123" t="inlineStr">
        <is>
          <t>Matéria-prima</t>
        </is>
      </c>
      <c r="B123" t="n">
        <v>113698.2953117058</v>
      </c>
      <c r="C123" s="2" t="n">
        <v>45474</v>
      </c>
    </row>
    <row r="124">
      <c r="A124" t="inlineStr">
        <is>
          <t>Matéria-prima</t>
        </is>
      </c>
      <c r="B124" t="n">
        <v>131480.4997105097</v>
      </c>
      <c r="C124" s="2" t="n">
        <v>45474</v>
      </c>
    </row>
    <row r="125">
      <c r="A125" t="inlineStr">
        <is>
          <t>Frete</t>
        </is>
      </c>
      <c r="B125" t="n">
        <v>1902.247515574486</v>
      </c>
      <c r="C125" s="2" t="n">
        <v>45474</v>
      </c>
    </row>
    <row r="126">
      <c r="A126" t="inlineStr">
        <is>
          <t>Frete</t>
        </is>
      </c>
      <c r="B126" t="n">
        <v>2452.190735817792</v>
      </c>
      <c r="C126" s="2" t="n">
        <v>45474</v>
      </c>
    </row>
    <row r="127">
      <c r="A127" t="inlineStr">
        <is>
          <t>Frete</t>
        </is>
      </c>
      <c r="B127" t="n">
        <v>5092.503984526487</v>
      </c>
      <c r="C127" s="2" t="n">
        <v>45474</v>
      </c>
    </row>
    <row r="128">
      <c r="A128" t="inlineStr">
        <is>
          <t>Armazenagem</t>
        </is>
      </c>
      <c r="B128" t="n">
        <v>5767.118664808654</v>
      </c>
      <c r="C128" s="2" t="n">
        <v>45474</v>
      </c>
    </row>
    <row r="129">
      <c r="A129" t="inlineStr">
        <is>
          <t>Armazenagem</t>
        </is>
      </c>
      <c r="B129" t="n">
        <v>1257.18465380921</v>
      </c>
      <c r="C129" s="2" t="n">
        <v>45474</v>
      </c>
    </row>
    <row r="130">
      <c r="A130" t="inlineStr">
        <is>
          <t>Frete</t>
        </is>
      </c>
      <c r="B130" t="n">
        <v>8111.820885203444</v>
      </c>
      <c r="C130" s="2" t="n">
        <v>45474</v>
      </c>
    </row>
    <row r="131">
      <c r="A131" t="inlineStr">
        <is>
          <t>Frete</t>
        </is>
      </c>
      <c r="B131" t="n">
        <v>3688.678165422606</v>
      </c>
      <c r="C131" s="2" t="n">
        <v>45474</v>
      </c>
    </row>
    <row r="132">
      <c r="A132" t="inlineStr">
        <is>
          <t>Frete</t>
        </is>
      </c>
      <c r="B132" t="n">
        <v>9124.157107647219</v>
      </c>
      <c r="C132" s="2" t="n">
        <v>45474</v>
      </c>
    </row>
    <row r="133">
      <c r="A133" t="inlineStr">
        <is>
          <t>Armazenagem</t>
        </is>
      </c>
      <c r="B133" t="n">
        <v>9614.099119801245</v>
      </c>
      <c r="C133" s="2" t="n">
        <v>45474</v>
      </c>
    </row>
    <row r="134">
      <c r="A134" t="inlineStr">
        <is>
          <t>Armazenagem</t>
        </is>
      </c>
      <c r="B134" t="n">
        <v>2732.038097154559</v>
      </c>
      <c r="C134" s="2" t="n">
        <v>45474</v>
      </c>
    </row>
    <row r="135">
      <c r="A135" t="inlineStr">
        <is>
          <t>Matéria-prima</t>
        </is>
      </c>
      <c r="B135" t="n">
        <v>234838.9163062643</v>
      </c>
      <c r="C135" s="2" t="n">
        <v>45474</v>
      </c>
    </row>
    <row r="136">
      <c r="A136" t="inlineStr">
        <is>
          <t>Matéria-prima</t>
        </is>
      </c>
      <c r="B136" t="n">
        <v>50492.73406657035</v>
      </c>
      <c r="C136" s="2" t="n">
        <v>45474</v>
      </c>
    </row>
    <row r="137">
      <c r="A137" t="inlineStr">
        <is>
          <t>Frete</t>
        </is>
      </c>
      <c r="B137" t="n">
        <v>6365.279933077358</v>
      </c>
      <c r="C137" s="2" t="n">
        <v>45474</v>
      </c>
    </row>
    <row r="138">
      <c r="A138" t="inlineStr">
        <is>
          <t>Armazenagem</t>
        </is>
      </c>
      <c r="B138" t="n">
        <v>6444.296744711507</v>
      </c>
      <c r="C138" s="2" t="n">
        <v>45474</v>
      </c>
    </row>
    <row r="139">
      <c r="A139" t="inlineStr">
        <is>
          <t>Armazenagem</t>
        </is>
      </c>
      <c r="B139" t="n">
        <v>3278.351609309701</v>
      </c>
      <c r="C139" s="2" t="n">
        <v>45474</v>
      </c>
    </row>
    <row r="140">
      <c r="A140" t="inlineStr">
        <is>
          <t>Armazenagem</t>
        </is>
      </c>
      <c r="B140" t="n">
        <v>6014.031518732142</v>
      </c>
      <c r="C140" s="2" t="n">
        <v>45474</v>
      </c>
    </row>
    <row r="141">
      <c r="A141" t="inlineStr">
        <is>
          <t>Frete</t>
        </is>
      </c>
      <c r="B141" t="n">
        <v>3084.753253504873</v>
      </c>
      <c r="C141" s="2" t="n">
        <v>45474</v>
      </c>
    </row>
    <row r="142">
      <c r="A142" t="inlineStr">
        <is>
          <t>Matéria-prima</t>
        </is>
      </c>
      <c r="B142" t="n">
        <v>22866.0375262552</v>
      </c>
      <c r="C142" s="2" t="n">
        <v>45505</v>
      </c>
    </row>
    <row r="143">
      <c r="A143" t="inlineStr">
        <is>
          <t>Frete</t>
        </is>
      </c>
      <c r="B143" t="n">
        <v>6833.371307859929</v>
      </c>
      <c r="C143" s="2" t="n">
        <v>45505</v>
      </c>
    </row>
    <row r="144">
      <c r="A144" t="inlineStr">
        <is>
          <t>Matéria-prima</t>
        </is>
      </c>
      <c r="B144" t="n">
        <v>36074.03711616599</v>
      </c>
      <c r="C144" s="2" t="n">
        <v>45505</v>
      </c>
    </row>
    <row r="145">
      <c r="A145" t="inlineStr">
        <is>
          <t>Matéria-prima</t>
        </is>
      </c>
      <c r="B145" t="n">
        <v>57221.11511084979</v>
      </c>
      <c r="C145" s="2" t="n">
        <v>45505</v>
      </c>
    </row>
    <row r="146">
      <c r="A146" t="inlineStr">
        <is>
          <t>Frete</t>
        </is>
      </c>
      <c r="B146" t="n">
        <v>4912.57139095057</v>
      </c>
      <c r="C146" s="2" t="n">
        <v>45505</v>
      </c>
    </row>
    <row r="147">
      <c r="A147" t="inlineStr">
        <is>
          <t>Matéria-prima</t>
        </is>
      </c>
      <c r="B147" t="n">
        <v>88748.11259223233</v>
      </c>
      <c r="C147" s="2" t="n">
        <v>45505</v>
      </c>
    </row>
    <row r="148">
      <c r="A148" t="inlineStr">
        <is>
          <t>Matéria-prima</t>
        </is>
      </c>
      <c r="B148" t="n">
        <v>21966.45141340526</v>
      </c>
      <c r="C148" s="2" t="n">
        <v>45505</v>
      </c>
    </row>
    <row r="149">
      <c r="A149" t="inlineStr">
        <is>
          <t>Armazenagem</t>
        </is>
      </c>
      <c r="B149" t="n">
        <v>5188.46765039513</v>
      </c>
      <c r="C149" s="2" t="n">
        <v>45505</v>
      </c>
    </row>
    <row r="150">
      <c r="A150" t="inlineStr">
        <is>
          <t>Matéria-prima</t>
        </is>
      </c>
      <c r="B150" t="n">
        <v>64436.53010874602</v>
      </c>
      <c r="C150" s="2" t="n">
        <v>45505</v>
      </c>
    </row>
    <row r="151">
      <c r="A151" t="inlineStr">
        <is>
          <t>Frete</t>
        </is>
      </c>
      <c r="B151" t="n">
        <v>4580.796738143724</v>
      </c>
      <c r="C151" s="2" t="n">
        <v>45505</v>
      </c>
    </row>
    <row r="152">
      <c r="A152" t="inlineStr">
        <is>
          <t>Frete</t>
        </is>
      </c>
      <c r="B152" t="n">
        <v>9677.358696462072</v>
      </c>
      <c r="C152" s="2" t="n">
        <v>45505</v>
      </c>
    </row>
    <row r="153">
      <c r="A153" t="inlineStr">
        <is>
          <t>Matéria-prima</t>
        </is>
      </c>
      <c r="B153" t="n">
        <v>67751.0102341548</v>
      </c>
      <c r="C153" s="2" t="n">
        <v>45505</v>
      </c>
    </row>
    <row r="154">
      <c r="A154" t="inlineStr">
        <is>
          <t>Armazenagem</t>
        </is>
      </c>
      <c r="B154" t="n">
        <v>6881.457946567541</v>
      </c>
      <c r="C154" s="2" t="n">
        <v>45505</v>
      </c>
    </row>
    <row r="155">
      <c r="A155" t="inlineStr">
        <is>
          <t>Armazenagem</t>
        </is>
      </c>
      <c r="B155" t="n">
        <v>7762.121554978766</v>
      </c>
      <c r="C155" s="2" t="n">
        <v>45505</v>
      </c>
    </row>
    <row r="156">
      <c r="A156" t="inlineStr">
        <is>
          <t>Matéria-prima</t>
        </is>
      </c>
      <c r="B156" t="n">
        <v>86211.89104309735</v>
      </c>
      <c r="C156" s="2" t="n">
        <v>45505</v>
      </c>
    </row>
    <row r="157">
      <c r="A157" t="inlineStr">
        <is>
          <t>Matéria-prima</t>
        </is>
      </c>
      <c r="B157" t="n">
        <v>82625.49223877123</v>
      </c>
      <c r="C157" s="2" t="n">
        <v>45505</v>
      </c>
    </row>
    <row r="158">
      <c r="A158" t="inlineStr">
        <is>
          <t>Frete</t>
        </is>
      </c>
      <c r="B158" t="n">
        <v>7473.710711512425</v>
      </c>
      <c r="C158" s="2" t="n">
        <v>45505</v>
      </c>
    </row>
    <row r="159">
      <c r="A159" t="inlineStr">
        <is>
          <t>Matéria-prima</t>
        </is>
      </c>
      <c r="B159" t="n">
        <v>69932.93112810265</v>
      </c>
      <c r="C159" s="2" t="n">
        <v>45505</v>
      </c>
    </row>
    <row r="160">
      <c r="A160" t="inlineStr">
        <is>
          <t>Armazenagem</t>
        </is>
      </c>
      <c r="B160" t="n">
        <v>2384.114251509281</v>
      </c>
      <c r="C160" s="2" t="n">
        <v>45505</v>
      </c>
    </row>
    <row r="161">
      <c r="A161" t="inlineStr">
        <is>
          <t>Matéria-prima</t>
        </is>
      </c>
      <c r="B161" t="n">
        <v>18223.39235941326</v>
      </c>
      <c r="C161" s="2" t="n">
        <v>45505</v>
      </c>
    </row>
    <row r="162">
      <c r="A162" t="inlineStr">
        <is>
          <t>Frete</t>
        </is>
      </c>
      <c r="B162" t="n">
        <v>6123.959616228647</v>
      </c>
      <c r="C162" s="2" t="n">
        <v>45536</v>
      </c>
    </row>
    <row r="163">
      <c r="A163" t="inlineStr">
        <is>
          <t>Frete</t>
        </is>
      </c>
      <c r="B163" t="n">
        <v>1261.635205076752</v>
      </c>
      <c r="C163" s="2" t="n">
        <v>45536</v>
      </c>
    </row>
    <row r="164">
      <c r="A164" t="inlineStr">
        <is>
          <t>Frete</t>
        </is>
      </c>
      <c r="B164" t="n">
        <v>5344.736157654006</v>
      </c>
      <c r="C164" s="2" t="n">
        <v>45536</v>
      </c>
    </row>
    <row r="165">
      <c r="A165" t="inlineStr">
        <is>
          <t>Frete</t>
        </is>
      </c>
      <c r="B165" t="n">
        <v>2951.076303286044</v>
      </c>
      <c r="C165" s="2" t="n">
        <v>45536</v>
      </c>
    </row>
    <row r="166">
      <c r="A166" t="inlineStr">
        <is>
          <t>Frete</t>
        </is>
      </c>
      <c r="B166" t="n">
        <v>4144.945795274588</v>
      </c>
      <c r="C166" s="2" t="n">
        <v>45536</v>
      </c>
    </row>
    <row r="167">
      <c r="A167" t="inlineStr">
        <is>
          <t>Matéria-prima</t>
        </is>
      </c>
      <c r="B167" t="n">
        <v>72064.37886343649</v>
      </c>
      <c r="C167" s="2" t="n">
        <v>45536</v>
      </c>
    </row>
    <row r="168">
      <c r="A168" t="inlineStr">
        <is>
          <t>Matéria-prima</t>
        </is>
      </c>
      <c r="B168" t="n">
        <v>85299.00033859092</v>
      </c>
      <c r="C168" s="2" t="n">
        <v>45536</v>
      </c>
    </row>
    <row r="169">
      <c r="A169" t="inlineStr">
        <is>
          <t>Matéria-prima</t>
        </is>
      </c>
      <c r="B169" t="n">
        <v>15793.30177170732</v>
      </c>
      <c r="C169" s="2" t="n">
        <v>45536</v>
      </c>
    </row>
    <row r="170">
      <c r="A170" t="inlineStr">
        <is>
          <t>Matéria-prima</t>
        </is>
      </c>
      <c r="B170" t="n">
        <v>52739.37647811561</v>
      </c>
      <c r="C170" s="2" t="n">
        <v>45536</v>
      </c>
    </row>
    <row r="171">
      <c r="A171" t="inlineStr">
        <is>
          <t>Frete</t>
        </is>
      </c>
      <c r="B171" t="n">
        <v>8866.294675212481</v>
      </c>
      <c r="C171" s="2" t="n">
        <v>45536</v>
      </c>
    </row>
    <row r="172">
      <c r="A172" t="inlineStr">
        <is>
          <t>Armazenagem</t>
        </is>
      </c>
      <c r="B172" t="n">
        <v>5312.218481674784</v>
      </c>
      <c r="C172" s="2" t="n">
        <v>45536</v>
      </c>
    </row>
    <row r="173">
      <c r="A173" t="inlineStr">
        <is>
          <t>Matéria-prima</t>
        </is>
      </c>
      <c r="B173" t="n">
        <v>75961.12375174671</v>
      </c>
      <c r="C173" s="2" t="n">
        <v>45536</v>
      </c>
    </row>
    <row r="174">
      <c r="A174" t="inlineStr">
        <is>
          <t>Armazenagem</t>
        </is>
      </c>
      <c r="B174" t="n">
        <v>12359.71458376375</v>
      </c>
      <c r="C174" s="2" t="n">
        <v>45536</v>
      </c>
    </row>
    <row r="175">
      <c r="A175" t="inlineStr">
        <is>
          <t>Matéria-prima</t>
        </is>
      </c>
      <c r="B175" t="n">
        <v>35767.57617754683</v>
      </c>
      <c r="C175" s="2" t="n">
        <v>45536</v>
      </c>
    </row>
    <row r="176">
      <c r="A176" t="inlineStr">
        <is>
          <t>Matéria-prima</t>
        </is>
      </c>
      <c r="B176" t="n">
        <v>88197.31090518285</v>
      </c>
      <c r="C176" s="2" t="n">
        <v>45536</v>
      </c>
    </row>
    <row r="177">
      <c r="A177" t="inlineStr">
        <is>
          <t>Armazenagem</t>
        </is>
      </c>
      <c r="B177" t="n">
        <v>8341.99270047473</v>
      </c>
      <c r="C177" s="2" t="n">
        <v>45536</v>
      </c>
    </row>
    <row r="178">
      <c r="A178" t="inlineStr">
        <is>
          <t>Frete</t>
        </is>
      </c>
      <c r="B178" t="n">
        <v>7200.106679239593</v>
      </c>
      <c r="C178" s="2" t="n">
        <v>45536</v>
      </c>
    </row>
    <row r="179">
      <c r="A179" t="inlineStr">
        <is>
          <t>Matéria-prima</t>
        </is>
      </c>
      <c r="B179" t="n">
        <v>75715.25824078932</v>
      </c>
      <c r="C179" s="2" t="n">
        <v>45536</v>
      </c>
    </row>
    <row r="180">
      <c r="A180" t="inlineStr">
        <is>
          <t>Matéria-prima</t>
        </is>
      </c>
      <c r="B180" t="n">
        <v>13294.67962234173</v>
      </c>
      <c r="C180" s="2" t="n">
        <v>45536</v>
      </c>
    </row>
    <row r="181">
      <c r="A181" t="inlineStr">
        <is>
          <t>Matéria-prima</t>
        </is>
      </c>
      <c r="B181" t="n">
        <v>63630.83666835297</v>
      </c>
      <c r="C181" s="2" t="n">
        <v>45536</v>
      </c>
    </row>
    <row r="182">
      <c r="A182" t="inlineStr">
        <is>
          <t>Armazenagem</t>
        </is>
      </c>
      <c r="B182" t="n">
        <v>9473.639774326877</v>
      </c>
      <c r="C182" s="2" t="n">
        <v>45566</v>
      </c>
    </row>
    <row r="183">
      <c r="A183" t="inlineStr">
        <is>
          <t>Frete</t>
        </is>
      </c>
      <c r="B183" t="n">
        <v>2193.135707206923</v>
      </c>
      <c r="C183" s="2" t="n">
        <v>45566</v>
      </c>
    </row>
    <row r="184">
      <c r="A184" t="inlineStr">
        <is>
          <t>Armazenagem</t>
        </is>
      </c>
      <c r="B184" t="n">
        <v>8986.747463628337</v>
      </c>
      <c r="C184" s="2" t="n">
        <v>45566</v>
      </c>
    </row>
    <row r="185">
      <c r="A185" t="inlineStr">
        <is>
          <t>Armazenagem</t>
        </is>
      </c>
      <c r="B185" t="n">
        <v>6334.034408917038</v>
      </c>
      <c r="C185" s="2" t="n">
        <v>45566</v>
      </c>
    </row>
    <row r="186">
      <c r="A186" t="inlineStr">
        <is>
          <t>Frete</t>
        </is>
      </c>
      <c r="B186" t="n">
        <v>6526.120320389771</v>
      </c>
      <c r="C186" s="2" t="n">
        <v>45566</v>
      </c>
    </row>
    <row r="187">
      <c r="A187" t="inlineStr">
        <is>
          <t>Armazenagem</t>
        </is>
      </c>
      <c r="B187" t="n">
        <v>6493.908738817332</v>
      </c>
      <c r="C187" s="2" t="n">
        <v>45566</v>
      </c>
    </row>
    <row r="188">
      <c r="A188" t="inlineStr">
        <is>
          <t>Frete</t>
        </is>
      </c>
      <c r="B188" t="n">
        <v>3729.755799768363</v>
      </c>
      <c r="C188" s="2" t="n">
        <v>45566</v>
      </c>
    </row>
    <row r="189">
      <c r="A189" t="inlineStr">
        <is>
          <t>Matéria-prima</t>
        </is>
      </c>
      <c r="B189" t="n">
        <v>178113.9049703092</v>
      </c>
      <c r="C189" s="2" t="n">
        <v>45566</v>
      </c>
    </row>
    <row r="190">
      <c r="A190" t="inlineStr">
        <is>
          <t>Frete</t>
        </is>
      </c>
      <c r="B190" t="n">
        <v>9436.68407115314</v>
      </c>
      <c r="C190" s="2" t="n">
        <v>45566</v>
      </c>
    </row>
    <row r="191">
      <c r="A191" t="inlineStr">
        <is>
          <t>Matéria-prima</t>
        </is>
      </c>
      <c r="B191" t="n">
        <v>126051.1829159433</v>
      </c>
      <c r="C191" s="2" t="n">
        <v>45566</v>
      </c>
    </row>
    <row r="192">
      <c r="A192" t="inlineStr">
        <is>
          <t>Armazenagem</t>
        </is>
      </c>
      <c r="B192" t="n">
        <v>7994.119988286209</v>
      </c>
      <c r="C192" s="2" t="n">
        <v>45566</v>
      </c>
    </row>
    <row r="193">
      <c r="A193" t="inlineStr">
        <is>
          <t>Armazenagem</t>
        </is>
      </c>
      <c r="B193" t="n">
        <v>6487.870275754191</v>
      </c>
      <c r="C193" s="2" t="n">
        <v>45566</v>
      </c>
    </row>
    <row r="194">
      <c r="A194" t="inlineStr">
        <is>
          <t>Matéria-prima</t>
        </is>
      </c>
      <c r="B194" t="n">
        <v>102378.9391924388</v>
      </c>
      <c r="C194" s="2" t="n">
        <v>45566</v>
      </c>
    </row>
    <row r="195">
      <c r="A195" t="inlineStr">
        <is>
          <t>Armazenagem</t>
        </is>
      </c>
      <c r="B195" t="n">
        <v>6915.217041033407</v>
      </c>
      <c r="C195" s="2" t="n">
        <v>45566</v>
      </c>
    </row>
    <row r="196">
      <c r="A196" t="inlineStr">
        <is>
          <t>Frete</t>
        </is>
      </c>
      <c r="B196" t="n">
        <v>5966.412782809235</v>
      </c>
      <c r="C196" s="2" t="n">
        <v>45566</v>
      </c>
    </row>
    <row r="197">
      <c r="A197" t="inlineStr">
        <is>
          <t>Matéria-prima</t>
        </is>
      </c>
      <c r="B197" t="n">
        <v>121375.9449221643</v>
      </c>
      <c r="C197" s="2" t="n">
        <v>45566</v>
      </c>
    </row>
    <row r="198">
      <c r="A198" t="inlineStr">
        <is>
          <t>Armazenagem</t>
        </is>
      </c>
      <c r="B198" t="n">
        <v>7997.726470085986</v>
      </c>
      <c r="C198" s="2" t="n">
        <v>45566</v>
      </c>
    </row>
    <row r="199">
      <c r="A199" t="inlineStr">
        <is>
          <t>Matéria-prima</t>
        </is>
      </c>
      <c r="B199" t="n">
        <v>101791.8436834295</v>
      </c>
      <c r="C199" s="2" t="n">
        <v>45566</v>
      </c>
    </row>
    <row r="200">
      <c r="A200" t="inlineStr">
        <is>
          <t>Frete</t>
        </is>
      </c>
      <c r="B200" t="n">
        <v>1458.63613361376</v>
      </c>
      <c r="C200" s="2" t="n">
        <v>45566</v>
      </c>
    </row>
    <row r="201">
      <c r="A201" t="inlineStr">
        <is>
          <t>Frete</t>
        </is>
      </c>
      <c r="B201" t="n">
        <v>2543.195432707576</v>
      </c>
      <c r="C201" s="2" t="n">
        <v>45566</v>
      </c>
    </row>
    <row r="202">
      <c r="A202" t="inlineStr">
        <is>
          <t>Armazenagem</t>
        </is>
      </c>
      <c r="B202" t="n">
        <v>11272.14432979077</v>
      </c>
      <c r="C202" s="2" t="n">
        <v>45597</v>
      </c>
    </row>
    <row r="203">
      <c r="A203" t="inlineStr">
        <is>
          <t>Frete</t>
        </is>
      </c>
      <c r="B203" t="n">
        <v>7478.473726891713</v>
      </c>
      <c r="C203" s="2" t="n">
        <v>45597</v>
      </c>
    </row>
    <row r="204">
      <c r="A204" t="inlineStr">
        <is>
          <t>Matéria-prima</t>
        </is>
      </c>
      <c r="B204" t="n">
        <v>86193.43779722144</v>
      </c>
      <c r="C204" s="2" t="n">
        <v>45597</v>
      </c>
    </row>
    <row r="205">
      <c r="A205" t="inlineStr">
        <is>
          <t>Frete</t>
        </is>
      </c>
      <c r="B205" t="n">
        <v>6822.588835686395</v>
      </c>
      <c r="C205" s="2" t="n">
        <v>45597</v>
      </c>
    </row>
    <row r="206">
      <c r="A206" t="inlineStr">
        <is>
          <t>Matéria-prima</t>
        </is>
      </c>
      <c r="B206" t="n">
        <v>72513.47142915448</v>
      </c>
      <c r="C206" s="2" t="n">
        <v>45597</v>
      </c>
    </row>
    <row r="207">
      <c r="A207" t="inlineStr">
        <is>
          <t>Matéria-prima</t>
        </is>
      </c>
      <c r="B207" t="n">
        <v>88889.04263306914</v>
      </c>
      <c r="C207" s="2" t="n">
        <v>45597</v>
      </c>
    </row>
    <row r="208">
      <c r="A208" t="inlineStr">
        <is>
          <t>Frete</t>
        </is>
      </c>
      <c r="B208" t="n">
        <v>3995.353452769027</v>
      </c>
      <c r="C208" s="2" t="n">
        <v>45597</v>
      </c>
    </row>
    <row r="209">
      <c r="A209" t="inlineStr">
        <is>
          <t>Armazenagem</t>
        </is>
      </c>
      <c r="B209" t="n">
        <v>11903.6518539333</v>
      </c>
      <c r="C209" s="2" t="n">
        <v>45597</v>
      </c>
    </row>
    <row r="210">
      <c r="A210" t="inlineStr">
        <is>
          <t>Frete</t>
        </is>
      </c>
      <c r="B210" t="n">
        <v>7649.65577723561</v>
      </c>
      <c r="C210" s="2" t="n">
        <v>45597</v>
      </c>
    </row>
    <row r="211">
      <c r="A211" t="inlineStr">
        <is>
          <t>Matéria-prima</t>
        </is>
      </c>
      <c r="B211" t="n">
        <v>119619.9334767745</v>
      </c>
      <c r="C211" s="2" t="n">
        <v>45597</v>
      </c>
    </row>
    <row r="212">
      <c r="A212" t="inlineStr">
        <is>
          <t>Matéria-prima</t>
        </is>
      </c>
      <c r="B212" t="n">
        <v>67038.64007476666</v>
      </c>
      <c r="C212" s="2" t="n">
        <v>45597</v>
      </c>
    </row>
    <row r="213">
      <c r="A213" t="inlineStr">
        <is>
          <t>Frete</t>
        </is>
      </c>
      <c r="B213" t="n">
        <v>1484.222587824779</v>
      </c>
      <c r="C213" s="2" t="n">
        <v>45597</v>
      </c>
    </row>
    <row r="214">
      <c r="A214" t="inlineStr">
        <is>
          <t>Armazenagem</t>
        </is>
      </c>
      <c r="B214" t="n">
        <v>5733.450882936055</v>
      </c>
      <c r="C214" s="2" t="n">
        <v>45597</v>
      </c>
    </row>
    <row r="215">
      <c r="A215" t="inlineStr">
        <is>
          <t>Armazenagem</t>
        </is>
      </c>
      <c r="B215" t="n">
        <v>2917.222785830763</v>
      </c>
      <c r="C215" s="2" t="n">
        <v>45597</v>
      </c>
    </row>
    <row r="216">
      <c r="A216" t="inlineStr">
        <is>
          <t>Matéria-prima</t>
        </is>
      </c>
      <c r="B216" t="n">
        <v>93391.56230847961</v>
      </c>
      <c r="C216" s="2" t="n">
        <v>45597</v>
      </c>
    </row>
    <row r="217">
      <c r="A217" t="inlineStr">
        <is>
          <t>Matéria-prima</t>
        </is>
      </c>
      <c r="B217" t="n">
        <v>54877.75504261308</v>
      </c>
      <c r="C217" s="2" t="n">
        <v>45597</v>
      </c>
    </row>
    <row r="218">
      <c r="A218" t="inlineStr">
        <is>
          <t>Armazenagem</t>
        </is>
      </c>
      <c r="B218" t="n">
        <v>13349.57271438735</v>
      </c>
      <c r="C218" s="2" t="n">
        <v>45597</v>
      </c>
    </row>
    <row r="219">
      <c r="A219" t="inlineStr">
        <is>
          <t>Frete</t>
        </is>
      </c>
      <c r="B219" t="n">
        <v>5440.836251697437</v>
      </c>
      <c r="C219" s="2" t="n">
        <v>45597</v>
      </c>
    </row>
    <row r="220">
      <c r="A220" t="inlineStr">
        <is>
          <t>Matéria-prima</t>
        </is>
      </c>
      <c r="B220" t="n">
        <v>24783.17874629121</v>
      </c>
      <c r="C220" s="2" t="n">
        <v>45597</v>
      </c>
    </row>
    <row r="221">
      <c r="A221" t="inlineStr">
        <is>
          <t>Matéria-prima</t>
        </is>
      </c>
      <c r="B221" t="n">
        <v>63391.36333485983</v>
      </c>
      <c r="C221" s="2" t="n">
        <v>45597</v>
      </c>
    </row>
    <row r="222">
      <c r="A222" t="inlineStr">
        <is>
          <t>Armazenagem</t>
        </is>
      </c>
      <c r="B222" t="n">
        <v>6911.222498446465</v>
      </c>
      <c r="C222" s="2" t="n">
        <v>45627</v>
      </c>
    </row>
    <row r="223">
      <c r="A223" t="inlineStr">
        <is>
          <t>Frete</t>
        </is>
      </c>
      <c r="B223" t="n">
        <v>4781.918140275345</v>
      </c>
      <c r="C223" s="2" t="n">
        <v>45627</v>
      </c>
    </row>
    <row r="224">
      <c r="A224" t="inlineStr">
        <is>
          <t>Armazenagem</t>
        </is>
      </c>
      <c r="B224" t="n">
        <v>6571.565606844855</v>
      </c>
      <c r="C224" s="2" t="n">
        <v>45627</v>
      </c>
    </row>
    <row r="225">
      <c r="A225" t="inlineStr">
        <is>
          <t>Frete</t>
        </is>
      </c>
      <c r="B225" t="n">
        <v>8495.981175237015</v>
      </c>
      <c r="C225" s="2" t="n">
        <v>45627</v>
      </c>
    </row>
    <row r="226">
      <c r="A226" t="inlineStr">
        <is>
          <t>Frete</t>
        </is>
      </c>
      <c r="B226" t="n">
        <v>2632.901361888632</v>
      </c>
      <c r="C226" s="2" t="n">
        <v>45627</v>
      </c>
    </row>
    <row r="227">
      <c r="A227" t="inlineStr">
        <is>
          <t>Frete</t>
        </is>
      </c>
      <c r="B227" t="n">
        <v>9554.868853085398</v>
      </c>
      <c r="C227" s="2" t="n">
        <v>45627</v>
      </c>
    </row>
    <row r="228">
      <c r="A228" t="inlineStr">
        <is>
          <t>Matéria-prima</t>
        </is>
      </c>
      <c r="B228" t="n">
        <v>77890.66072515948</v>
      </c>
      <c r="C228" s="2" t="n">
        <v>45627</v>
      </c>
    </row>
    <row r="229">
      <c r="A229" t="inlineStr">
        <is>
          <t>Armazenagem</t>
        </is>
      </c>
      <c r="B229" t="n">
        <v>19424.90584038099</v>
      </c>
      <c r="C229" s="2" t="n">
        <v>45627</v>
      </c>
    </row>
    <row r="230">
      <c r="A230" t="inlineStr">
        <is>
          <t>Armazenagem</t>
        </is>
      </c>
      <c r="B230" t="n">
        <v>15075.2963641189</v>
      </c>
      <c r="C230" s="2" t="n">
        <v>45627</v>
      </c>
    </row>
    <row r="231">
      <c r="A231" t="inlineStr">
        <is>
          <t>Frete</t>
        </is>
      </c>
      <c r="B231" t="n">
        <v>7571.082628258625</v>
      </c>
      <c r="C231" s="2" t="n">
        <v>45627</v>
      </c>
    </row>
    <row r="232">
      <c r="A232" t="inlineStr">
        <is>
          <t>Matéria-prima</t>
        </is>
      </c>
      <c r="B232" t="n">
        <v>128552.2398816164</v>
      </c>
      <c r="C232" s="2" t="n">
        <v>45627</v>
      </c>
    </row>
    <row r="233">
      <c r="A233" t="inlineStr">
        <is>
          <t>Matéria-prima</t>
        </is>
      </c>
      <c r="B233" t="n">
        <v>90697.66299259457</v>
      </c>
      <c r="C233" s="2" t="n">
        <v>45627</v>
      </c>
    </row>
    <row r="234">
      <c r="A234" t="inlineStr">
        <is>
          <t>Armazenagem</t>
        </is>
      </c>
      <c r="B234" t="n">
        <v>13366.01046726577</v>
      </c>
      <c r="C234" s="2" t="n">
        <v>45627</v>
      </c>
    </row>
    <row r="235">
      <c r="A235" t="inlineStr">
        <is>
          <t>Matéria-prima</t>
        </is>
      </c>
      <c r="B235" t="n">
        <v>92015.40496445641</v>
      </c>
      <c r="C235" s="2" t="n">
        <v>45627</v>
      </c>
    </row>
    <row r="236">
      <c r="A236" t="inlineStr">
        <is>
          <t>Matéria-prima</t>
        </is>
      </c>
      <c r="B236" t="n">
        <v>102680.4064449714</v>
      </c>
      <c r="C236" s="2" t="n">
        <v>45627</v>
      </c>
    </row>
    <row r="237">
      <c r="A237" t="inlineStr">
        <is>
          <t>Frete</t>
        </is>
      </c>
      <c r="B237" t="n">
        <v>1358.671122657264</v>
      </c>
      <c r="C237" s="2" t="n">
        <v>45627</v>
      </c>
    </row>
    <row r="238">
      <c r="A238" t="inlineStr">
        <is>
          <t>Matéria-prima</t>
        </is>
      </c>
      <c r="B238" t="n">
        <v>74954.1844582582</v>
      </c>
      <c r="C238" s="2" t="n">
        <v>45627</v>
      </c>
    </row>
    <row r="239">
      <c r="A239" t="inlineStr">
        <is>
          <t>Frete</t>
        </is>
      </c>
      <c r="B239" t="n">
        <v>6434.46067933831</v>
      </c>
      <c r="C239" s="2" t="n">
        <v>45627</v>
      </c>
    </row>
    <row r="240">
      <c r="A240" t="inlineStr">
        <is>
          <t>Armazenagem</t>
        </is>
      </c>
      <c r="B240" t="n">
        <v>14454.47130511729</v>
      </c>
      <c r="C240" s="2" t="n">
        <v>45627</v>
      </c>
    </row>
    <row r="241">
      <c r="A241" t="inlineStr">
        <is>
          <t>Matéria-prima</t>
        </is>
      </c>
      <c r="B241" t="n">
        <v>132185.6776232109</v>
      </c>
      <c r="C241" s="2" t="n">
        <v>45627</v>
      </c>
    </row>
    <row r="242">
      <c r="A242" t="inlineStr">
        <is>
          <t>Comercial</t>
        </is>
      </c>
      <c r="B242" t="n">
        <v>15796.87870015682</v>
      </c>
      <c r="C242" s="2" t="n">
        <v>45292</v>
      </c>
    </row>
    <row r="243">
      <c r="A243" t="inlineStr">
        <is>
          <t>Administrativo</t>
        </is>
      </c>
      <c r="B243" t="n">
        <v>12691.11444462175</v>
      </c>
      <c r="C243" s="2" t="n">
        <v>45292</v>
      </c>
    </row>
    <row r="244">
      <c r="A244" t="inlineStr">
        <is>
          <t>Comercial</t>
        </is>
      </c>
      <c r="B244" t="n">
        <v>13682.17294198998</v>
      </c>
      <c r="C244" s="2" t="n">
        <v>45292</v>
      </c>
    </row>
    <row r="245">
      <c r="A245" t="inlineStr">
        <is>
          <t>Comercial</t>
        </is>
      </c>
      <c r="B245" t="n">
        <v>24583.11438225886</v>
      </c>
      <c r="C245" s="2" t="n">
        <v>45292</v>
      </c>
    </row>
    <row r="246">
      <c r="A246" t="inlineStr">
        <is>
          <t>Administrativo</t>
        </is>
      </c>
      <c r="B246" t="n">
        <v>2926.643510717131</v>
      </c>
      <c r="C246" s="2" t="n">
        <v>45292</v>
      </c>
    </row>
    <row r="247">
      <c r="A247" t="inlineStr">
        <is>
          <t>Administrativo</t>
        </is>
      </c>
      <c r="B247" t="n">
        <v>14410.580390433</v>
      </c>
      <c r="C247" s="2" t="n">
        <v>45292</v>
      </c>
    </row>
    <row r="248">
      <c r="A248" t="inlineStr">
        <is>
          <t>Marketing</t>
        </is>
      </c>
      <c r="B248" t="n">
        <v>31533.03017582259</v>
      </c>
      <c r="C248" s="2" t="n">
        <v>45292</v>
      </c>
    </row>
    <row r="249">
      <c r="A249" t="inlineStr">
        <is>
          <t>Comercial</t>
        </is>
      </c>
      <c r="B249" t="n">
        <v>12493.7435091306</v>
      </c>
      <c r="C249" s="2" t="n">
        <v>45292</v>
      </c>
    </row>
    <row r="250">
      <c r="A250" t="inlineStr">
        <is>
          <t>Marketing</t>
        </is>
      </c>
      <c r="B250" t="n">
        <v>13689.01093634221</v>
      </c>
      <c r="C250" s="2" t="n">
        <v>45292</v>
      </c>
    </row>
    <row r="251">
      <c r="A251" t="inlineStr">
        <is>
          <t>Administrativo</t>
        </is>
      </c>
      <c r="B251" t="n">
        <v>8229.381982766799</v>
      </c>
      <c r="C251" s="2" t="n">
        <v>45292</v>
      </c>
    </row>
    <row r="252">
      <c r="A252" t="inlineStr">
        <is>
          <t>Marketing</t>
        </is>
      </c>
      <c r="B252" t="n">
        <v>13587.77460422674</v>
      </c>
      <c r="C252" s="2" t="n">
        <v>45292</v>
      </c>
    </row>
    <row r="253">
      <c r="A253" t="inlineStr">
        <is>
          <t>Comercial</t>
        </is>
      </c>
      <c r="B253" t="n">
        <v>7492.159621189527</v>
      </c>
      <c r="C253" s="2" t="n">
        <v>45292</v>
      </c>
    </row>
    <row r="254">
      <c r="A254" t="inlineStr">
        <is>
          <t>Marketing</t>
        </is>
      </c>
      <c r="B254" t="n">
        <v>30076.71853910598</v>
      </c>
      <c r="C254" s="2" t="n">
        <v>45292</v>
      </c>
    </row>
    <row r="255">
      <c r="A255" t="inlineStr">
        <is>
          <t>Comercial</t>
        </is>
      </c>
      <c r="B255" t="n">
        <v>15840.18255521376</v>
      </c>
      <c r="C255" s="2" t="n">
        <v>45292</v>
      </c>
    </row>
    <row r="256">
      <c r="A256" t="inlineStr">
        <is>
          <t>Administrativo</t>
        </is>
      </c>
      <c r="B256" t="n">
        <v>10711.24844994224</v>
      </c>
      <c r="C256" s="2" t="n">
        <v>45292</v>
      </c>
    </row>
    <row r="257">
      <c r="A257" t="inlineStr">
        <is>
          <t>Administrativo</t>
        </is>
      </c>
      <c r="B257" t="n">
        <v>14084.87640648586</v>
      </c>
      <c r="C257" s="2" t="n">
        <v>45292</v>
      </c>
    </row>
    <row r="258">
      <c r="A258" t="inlineStr">
        <is>
          <t>Comercial</t>
        </is>
      </c>
      <c r="B258" t="n">
        <v>16054.88899213354</v>
      </c>
      <c r="C258" s="2" t="n">
        <v>45292</v>
      </c>
    </row>
    <row r="259">
      <c r="A259" t="inlineStr">
        <is>
          <t>Administrativo</t>
        </is>
      </c>
      <c r="B259" t="n">
        <v>9552.11669241637</v>
      </c>
      <c r="C259" s="2" t="n">
        <v>45292</v>
      </c>
    </row>
    <row r="260">
      <c r="A260" t="inlineStr">
        <is>
          <t>Administrativo</t>
        </is>
      </c>
      <c r="B260" t="n">
        <v>3165.142409014247</v>
      </c>
      <c r="C260" s="2" t="n">
        <v>45292</v>
      </c>
    </row>
    <row r="261">
      <c r="A261" t="inlineStr">
        <is>
          <t>Administrativo</t>
        </is>
      </c>
      <c r="B261" t="n">
        <v>11329.26521681218</v>
      </c>
      <c r="C261" s="2" t="n">
        <v>45292</v>
      </c>
    </row>
    <row r="262">
      <c r="A262" t="inlineStr">
        <is>
          <t>Administrativo</t>
        </is>
      </c>
      <c r="B262" t="n">
        <v>7198.767688454031</v>
      </c>
      <c r="C262" s="2" t="n">
        <v>45323</v>
      </c>
    </row>
    <row r="263">
      <c r="A263" t="inlineStr">
        <is>
          <t>Comercial</t>
        </is>
      </c>
      <c r="B263" t="n">
        <v>17636.91372313622</v>
      </c>
      <c r="C263" s="2" t="n">
        <v>45323</v>
      </c>
    </row>
    <row r="264">
      <c r="A264" t="inlineStr">
        <is>
          <t>Marketing</t>
        </is>
      </c>
      <c r="B264" t="n">
        <v>12701.26220274358</v>
      </c>
      <c r="C264" s="2" t="n">
        <v>45323</v>
      </c>
    </row>
    <row r="265">
      <c r="A265" t="inlineStr">
        <is>
          <t>Marketing</t>
        </is>
      </c>
      <c r="B265" t="n">
        <v>8792.253526709537</v>
      </c>
      <c r="C265" s="2" t="n">
        <v>45323</v>
      </c>
    </row>
    <row r="266">
      <c r="A266" t="inlineStr">
        <is>
          <t>Administrativo</t>
        </is>
      </c>
      <c r="B266" t="n">
        <v>3601.894504238158</v>
      </c>
      <c r="C266" s="2" t="n">
        <v>45323</v>
      </c>
    </row>
    <row r="267">
      <c r="A267" t="inlineStr">
        <is>
          <t>Marketing</t>
        </is>
      </c>
      <c r="B267" t="n">
        <v>13172.40531264766</v>
      </c>
      <c r="C267" s="2" t="n">
        <v>45323</v>
      </c>
    </row>
    <row r="268">
      <c r="A268" t="inlineStr">
        <is>
          <t>Marketing</t>
        </is>
      </c>
      <c r="B268" t="n">
        <v>12397.15424051228</v>
      </c>
      <c r="C268" s="2" t="n">
        <v>45323</v>
      </c>
    </row>
    <row r="269">
      <c r="A269" t="inlineStr">
        <is>
          <t>Administrativo</t>
        </is>
      </c>
      <c r="B269" t="n">
        <v>4399.606683981428</v>
      </c>
      <c r="C269" s="2" t="n">
        <v>45323</v>
      </c>
    </row>
    <row r="270">
      <c r="A270" t="inlineStr">
        <is>
          <t>Administrativo</t>
        </is>
      </c>
      <c r="B270" t="n">
        <v>5838.617759864032</v>
      </c>
      <c r="C270" s="2" t="n">
        <v>45323</v>
      </c>
    </row>
    <row r="271">
      <c r="A271" t="inlineStr">
        <is>
          <t>Marketing</t>
        </is>
      </c>
      <c r="B271" t="n">
        <v>12314.29435592189</v>
      </c>
      <c r="C271" s="2" t="n">
        <v>45323</v>
      </c>
    </row>
    <row r="272">
      <c r="A272" t="inlineStr">
        <is>
          <t>Comercial</t>
        </is>
      </c>
      <c r="B272" t="n">
        <v>5289.563766139589</v>
      </c>
      <c r="C272" s="2" t="n">
        <v>45323</v>
      </c>
    </row>
    <row r="273">
      <c r="A273" t="inlineStr">
        <is>
          <t>Administrativo</t>
        </is>
      </c>
      <c r="B273" t="n">
        <v>13930.78235922791</v>
      </c>
      <c r="C273" s="2" t="n">
        <v>45323</v>
      </c>
    </row>
    <row r="274">
      <c r="A274" t="inlineStr">
        <is>
          <t>Comercial</t>
        </is>
      </c>
      <c r="B274" t="n">
        <v>9022.627833063245</v>
      </c>
      <c r="C274" s="2" t="n">
        <v>45323</v>
      </c>
    </row>
    <row r="275">
      <c r="A275" t="inlineStr">
        <is>
          <t>Marketing</t>
        </is>
      </c>
      <c r="B275" t="n">
        <v>3131.506513639562</v>
      </c>
      <c r="C275" s="2" t="n">
        <v>45323</v>
      </c>
    </row>
    <row r="276">
      <c r="A276" t="inlineStr">
        <is>
          <t>Administrativo</t>
        </is>
      </c>
      <c r="B276" t="n">
        <v>12604.73236555565</v>
      </c>
      <c r="C276" s="2" t="n">
        <v>45323</v>
      </c>
    </row>
    <row r="277">
      <c r="A277" t="inlineStr">
        <is>
          <t>Comercial</t>
        </is>
      </c>
      <c r="B277" t="n">
        <v>8226.751055398847</v>
      </c>
      <c r="C277" s="2" t="n">
        <v>45323</v>
      </c>
    </row>
    <row r="278">
      <c r="A278" t="inlineStr">
        <is>
          <t>Administrativo</t>
        </is>
      </c>
      <c r="B278" t="n">
        <v>8844.489523999153</v>
      </c>
      <c r="C278" s="2" t="n">
        <v>45323</v>
      </c>
    </row>
    <row r="279">
      <c r="A279" t="inlineStr">
        <is>
          <t>Marketing</t>
        </is>
      </c>
      <c r="B279" t="n">
        <v>3459.956477345849</v>
      </c>
      <c r="C279" s="2" t="n">
        <v>45323</v>
      </c>
    </row>
    <row r="280">
      <c r="A280" t="inlineStr">
        <is>
          <t>Comercial</t>
        </is>
      </c>
      <c r="B280" t="n">
        <v>2440.310631581725</v>
      </c>
      <c r="C280" s="2" t="n">
        <v>45323</v>
      </c>
    </row>
    <row r="281">
      <c r="A281" t="inlineStr">
        <is>
          <t>Marketing</t>
        </is>
      </c>
      <c r="B281" t="n">
        <v>10293.80767531287</v>
      </c>
      <c r="C281" s="2" t="n">
        <v>45323</v>
      </c>
    </row>
    <row r="282">
      <c r="A282" t="inlineStr">
        <is>
          <t>Marketing</t>
        </is>
      </c>
      <c r="B282" t="n">
        <v>10436.73265720621</v>
      </c>
      <c r="C282" s="2" t="n">
        <v>45352</v>
      </c>
    </row>
    <row r="283">
      <c r="A283" t="inlineStr">
        <is>
          <t>Administrativo</t>
        </is>
      </c>
      <c r="B283" t="n">
        <v>9716.001398600914</v>
      </c>
      <c r="C283" s="2" t="n">
        <v>45352</v>
      </c>
    </row>
    <row r="284">
      <c r="A284" t="inlineStr">
        <is>
          <t>Comercial</t>
        </is>
      </c>
      <c r="B284" t="n">
        <v>14782.40406593605</v>
      </c>
      <c r="C284" s="2" t="n">
        <v>45352</v>
      </c>
    </row>
    <row r="285">
      <c r="A285" t="inlineStr">
        <is>
          <t>Marketing</t>
        </is>
      </c>
      <c r="B285" t="n">
        <v>12487.05224939662</v>
      </c>
      <c r="C285" s="2" t="n">
        <v>45352</v>
      </c>
    </row>
    <row r="286">
      <c r="A286" t="inlineStr">
        <is>
          <t>Marketing</t>
        </is>
      </c>
      <c r="B286" t="n">
        <v>5126.465708107084</v>
      </c>
      <c r="C286" s="2" t="n">
        <v>45352</v>
      </c>
    </row>
    <row r="287">
      <c r="A287" t="inlineStr">
        <is>
          <t>Comercial</t>
        </is>
      </c>
      <c r="B287" t="n">
        <v>8028.051298125357</v>
      </c>
      <c r="C287" s="2" t="n">
        <v>45352</v>
      </c>
    </row>
    <row r="288">
      <c r="A288" t="inlineStr">
        <is>
          <t>Marketing</t>
        </is>
      </c>
      <c r="B288" t="n">
        <v>16531.90123468906</v>
      </c>
      <c r="C288" s="2" t="n">
        <v>45352</v>
      </c>
    </row>
    <row r="289">
      <c r="A289" t="inlineStr">
        <is>
          <t>Marketing</t>
        </is>
      </c>
      <c r="B289" t="n">
        <v>14411.13732392619</v>
      </c>
      <c r="C289" s="2" t="n">
        <v>45352</v>
      </c>
    </row>
    <row r="290">
      <c r="A290" t="inlineStr">
        <is>
          <t>Comercial</t>
        </is>
      </c>
      <c r="B290" t="n">
        <v>11083.53810381279</v>
      </c>
      <c r="C290" s="2" t="n">
        <v>45352</v>
      </c>
    </row>
    <row r="291">
      <c r="A291" t="inlineStr">
        <is>
          <t>Comercial</t>
        </is>
      </c>
      <c r="B291" t="n">
        <v>6388.061965824648</v>
      </c>
      <c r="C291" s="2" t="n">
        <v>45352</v>
      </c>
    </row>
    <row r="292">
      <c r="A292" t="inlineStr">
        <is>
          <t>Comercial</t>
        </is>
      </c>
      <c r="B292" t="n">
        <v>7112.143828622802</v>
      </c>
      <c r="C292" s="2" t="n">
        <v>45352</v>
      </c>
    </row>
    <row r="293">
      <c r="A293" t="inlineStr">
        <is>
          <t>Comercial</t>
        </is>
      </c>
      <c r="B293" t="n">
        <v>13818.5458543359</v>
      </c>
      <c r="C293" s="2" t="n">
        <v>45352</v>
      </c>
    </row>
    <row r="294">
      <c r="A294" t="inlineStr">
        <is>
          <t>Administrativo</t>
        </is>
      </c>
      <c r="B294" t="n">
        <v>13065.26539108602</v>
      </c>
      <c r="C294" s="2" t="n">
        <v>45352</v>
      </c>
    </row>
    <row r="295">
      <c r="A295" t="inlineStr">
        <is>
          <t>Comercial</t>
        </is>
      </c>
      <c r="B295" t="n">
        <v>12874.22484467759</v>
      </c>
      <c r="C295" s="2" t="n">
        <v>45352</v>
      </c>
    </row>
    <row r="296">
      <c r="A296" t="inlineStr">
        <is>
          <t>Administrativo</t>
        </is>
      </c>
      <c r="B296" t="n">
        <v>12523.88968498974</v>
      </c>
      <c r="C296" s="2" t="n">
        <v>45352</v>
      </c>
    </row>
    <row r="297">
      <c r="A297" t="inlineStr">
        <is>
          <t>Administrativo</t>
        </is>
      </c>
      <c r="B297" t="n">
        <v>11966.52975760528</v>
      </c>
      <c r="C297" s="2" t="n">
        <v>45352</v>
      </c>
    </row>
    <row r="298">
      <c r="A298" t="inlineStr">
        <is>
          <t>Administrativo</t>
        </is>
      </c>
      <c r="B298" t="n">
        <v>3946.15158344045</v>
      </c>
      <c r="C298" s="2" t="n">
        <v>45352</v>
      </c>
    </row>
    <row r="299">
      <c r="A299" t="inlineStr">
        <is>
          <t>Marketing</t>
        </is>
      </c>
      <c r="B299" t="n">
        <v>9013.53908144751</v>
      </c>
      <c r="C299" s="2" t="n">
        <v>45352</v>
      </c>
    </row>
    <row r="300">
      <c r="A300" t="inlineStr">
        <is>
          <t>Administrativo</t>
        </is>
      </c>
      <c r="B300" t="n">
        <v>3988.789410771315</v>
      </c>
      <c r="C300" s="2" t="n">
        <v>45352</v>
      </c>
    </row>
    <row r="301">
      <c r="A301" t="inlineStr">
        <is>
          <t>Administrativo</t>
        </is>
      </c>
      <c r="B301" t="n">
        <v>5058.062602425803</v>
      </c>
      <c r="C301" s="2" t="n">
        <v>45352</v>
      </c>
    </row>
    <row r="302">
      <c r="A302" t="inlineStr">
        <is>
          <t>Marketing</t>
        </is>
      </c>
      <c r="B302" t="n">
        <v>10640.30009637094</v>
      </c>
      <c r="C302" s="2" t="n">
        <v>45383</v>
      </c>
    </row>
    <row r="303">
      <c r="A303" t="inlineStr">
        <is>
          <t>Marketing</t>
        </is>
      </c>
      <c r="B303" t="n">
        <v>6518.076442585095</v>
      </c>
      <c r="C303" s="2" t="n">
        <v>45383</v>
      </c>
    </row>
    <row r="304">
      <c r="A304" t="inlineStr">
        <is>
          <t>Marketing</t>
        </is>
      </c>
      <c r="B304" t="n">
        <v>7167.724259163672</v>
      </c>
      <c r="C304" s="2" t="n">
        <v>45383</v>
      </c>
    </row>
    <row r="305">
      <c r="A305" t="inlineStr">
        <is>
          <t>Comercial</t>
        </is>
      </c>
      <c r="B305" t="n">
        <v>10367.51411510649</v>
      </c>
      <c r="C305" s="2" t="n">
        <v>45383</v>
      </c>
    </row>
    <row r="306">
      <c r="A306" t="inlineStr">
        <is>
          <t>Marketing</t>
        </is>
      </c>
      <c r="B306" t="n">
        <v>4847.626574907478</v>
      </c>
      <c r="C306" s="2" t="n">
        <v>45383</v>
      </c>
    </row>
    <row r="307">
      <c r="A307" t="inlineStr">
        <is>
          <t>Marketing</t>
        </is>
      </c>
      <c r="B307" t="n">
        <v>3994.560151649847</v>
      </c>
      <c r="C307" s="2" t="n">
        <v>45383</v>
      </c>
    </row>
    <row r="308">
      <c r="A308" t="inlineStr">
        <is>
          <t>Administrativo</t>
        </is>
      </c>
      <c r="B308" t="n">
        <v>18721.68055495817</v>
      </c>
      <c r="C308" s="2" t="n">
        <v>45383</v>
      </c>
    </row>
    <row r="309">
      <c r="A309" t="inlineStr">
        <is>
          <t>Marketing</t>
        </is>
      </c>
      <c r="B309" t="n">
        <v>8234.792250486089</v>
      </c>
      <c r="C309" s="2" t="n">
        <v>45383</v>
      </c>
    </row>
    <row r="310">
      <c r="A310" t="inlineStr">
        <is>
          <t>Comercial</t>
        </is>
      </c>
      <c r="B310" t="n">
        <v>12814.7760465463</v>
      </c>
      <c r="C310" s="2" t="n">
        <v>45383</v>
      </c>
    </row>
    <row r="311">
      <c r="A311" t="inlineStr">
        <is>
          <t>Marketing</t>
        </is>
      </c>
      <c r="B311" t="n">
        <v>8172.961054612351</v>
      </c>
      <c r="C311" s="2" t="n">
        <v>45383</v>
      </c>
    </row>
    <row r="312">
      <c r="A312" t="inlineStr">
        <is>
          <t>Comercial</t>
        </is>
      </c>
      <c r="B312" t="n">
        <v>6623.783960186883</v>
      </c>
      <c r="C312" s="2" t="n">
        <v>45383</v>
      </c>
    </row>
    <row r="313">
      <c r="A313" t="inlineStr">
        <is>
          <t>Marketing</t>
        </is>
      </c>
      <c r="B313" t="n">
        <v>3074.45369268186</v>
      </c>
      <c r="C313" s="2" t="n">
        <v>45383</v>
      </c>
    </row>
    <row r="314">
      <c r="A314" t="inlineStr">
        <is>
          <t>Marketing</t>
        </is>
      </c>
      <c r="B314" t="n">
        <v>4455.218641601304</v>
      </c>
      <c r="C314" s="2" t="n">
        <v>45383</v>
      </c>
    </row>
    <row r="315">
      <c r="A315" t="inlineStr">
        <is>
          <t>Marketing</t>
        </is>
      </c>
      <c r="B315" t="n">
        <v>7809.287935715194</v>
      </c>
      <c r="C315" s="2" t="n">
        <v>45383</v>
      </c>
    </row>
    <row r="316">
      <c r="A316" t="inlineStr">
        <is>
          <t>Marketing</t>
        </is>
      </c>
      <c r="B316" t="n">
        <v>8628.748948908713</v>
      </c>
      <c r="C316" s="2" t="n">
        <v>45383</v>
      </c>
    </row>
    <row r="317">
      <c r="A317" t="inlineStr">
        <is>
          <t>Comercial</t>
        </is>
      </c>
      <c r="B317" t="n">
        <v>18612.76936352125</v>
      </c>
      <c r="C317" s="2" t="n">
        <v>45383</v>
      </c>
    </row>
    <row r="318">
      <c r="A318" t="inlineStr">
        <is>
          <t>Comercial</t>
        </is>
      </c>
      <c r="B318" t="n">
        <v>18708.67653480954</v>
      </c>
      <c r="C318" s="2" t="n">
        <v>45383</v>
      </c>
    </row>
    <row r="319">
      <c r="A319" t="inlineStr">
        <is>
          <t>Administrativo</t>
        </is>
      </c>
      <c r="B319" t="n">
        <v>45674.87627272816</v>
      </c>
      <c r="C319" s="2" t="n">
        <v>45383</v>
      </c>
    </row>
    <row r="320">
      <c r="A320" t="inlineStr">
        <is>
          <t>Comercial</t>
        </is>
      </c>
      <c r="B320" t="n">
        <v>5293.618063086173</v>
      </c>
      <c r="C320" s="2" t="n">
        <v>45383</v>
      </c>
    </row>
    <row r="321">
      <c r="A321" t="inlineStr">
        <is>
          <t>Marketing</t>
        </is>
      </c>
      <c r="B321" t="n">
        <v>5147.336254531894</v>
      </c>
      <c r="C321" s="2" t="n">
        <v>45383</v>
      </c>
    </row>
    <row r="322">
      <c r="A322" t="inlineStr">
        <is>
          <t>Administrativo</t>
        </is>
      </c>
      <c r="B322" t="n">
        <v>12643.19174255003</v>
      </c>
      <c r="C322" s="2" t="n">
        <v>45413</v>
      </c>
    </row>
    <row r="323">
      <c r="A323" t="inlineStr">
        <is>
          <t>Administrativo</t>
        </is>
      </c>
      <c r="B323" t="n">
        <v>9841.852332773838</v>
      </c>
      <c r="C323" s="2" t="n">
        <v>45413</v>
      </c>
    </row>
    <row r="324">
      <c r="A324" t="inlineStr">
        <is>
          <t>Administrativo</t>
        </is>
      </c>
      <c r="B324" t="n">
        <v>6383.952725820465</v>
      </c>
      <c r="C324" s="2" t="n">
        <v>45413</v>
      </c>
    </row>
    <row r="325">
      <c r="A325" t="inlineStr">
        <is>
          <t>Marketing</t>
        </is>
      </c>
      <c r="B325" t="n">
        <v>13771.82230028576</v>
      </c>
      <c r="C325" s="2" t="n">
        <v>45413</v>
      </c>
    </row>
    <row r="326">
      <c r="A326" t="inlineStr">
        <is>
          <t>Comercial</t>
        </is>
      </c>
      <c r="B326" t="n">
        <v>14452.91454821036</v>
      </c>
      <c r="C326" s="2" t="n">
        <v>45413</v>
      </c>
    </row>
    <row r="327">
      <c r="A327" t="inlineStr">
        <is>
          <t>Marketing</t>
        </is>
      </c>
      <c r="B327" t="n">
        <v>5443.640814077535</v>
      </c>
      <c r="C327" s="2" t="n">
        <v>45413</v>
      </c>
    </row>
    <row r="328">
      <c r="A328" t="inlineStr">
        <is>
          <t>Administrativo</t>
        </is>
      </c>
      <c r="B328" t="n">
        <v>10388.76788783432</v>
      </c>
      <c r="C328" s="2" t="n">
        <v>45413</v>
      </c>
    </row>
    <row r="329">
      <c r="A329" t="inlineStr">
        <is>
          <t>Marketing</t>
        </is>
      </c>
      <c r="B329" t="n">
        <v>9744.759466456437</v>
      </c>
      <c r="C329" s="2" t="n">
        <v>45413</v>
      </c>
    </row>
    <row r="330">
      <c r="A330" t="inlineStr">
        <is>
          <t>Marketing</t>
        </is>
      </c>
      <c r="B330" t="n">
        <v>7215.442882506775</v>
      </c>
      <c r="C330" s="2" t="n">
        <v>45413</v>
      </c>
    </row>
    <row r="331">
      <c r="A331" t="inlineStr">
        <is>
          <t>Comercial</t>
        </is>
      </c>
      <c r="B331" t="n">
        <v>8124.514835594891</v>
      </c>
      <c r="C331" s="2" t="n">
        <v>45413</v>
      </c>
    </row>
    <row r="332">
      <c r="A332" t="inlineStr">
        <is>
          <t>Comercial</t>
        </is>
      </c>
      <c r="B332" t="n">
        <v>7759.543406500981</v>
      </c>
      <c r="C332" s="2" t="n">
        <v>45413</v>
      </c>
    </row>
    <row r="333">
      <c r="A333" t="inlineStr">
        <is>
          <t>Administrativo</t>
        </is>
      </c>
      <c r="B333" t="n">
        <v>10023.02518414341</v>
      </c>
      <c r="C333" s="2" t="n">
        <v>45413</v>
      </c>
    </row>
    <row r="334">
      <c r="A334" t="inlineStr">
        <is>
          <t>Marketing</t>
        </is>
      </c>
      <c r="B334" t="n">
        <v>7751.329174248704</v>
      </c>
      <c r="C334" s="2" t="n">
        <v>45413</v>
      </c>
    </row>
    <row r="335">
      <c r="A335" t="inlineStr">
        <is>
          <t>Marketing</t>
        </is>
      </c>
      <c r="B335" t="n">
        <v>12814.22047226849</v>
      </c>
      <c r="C335" s="2" t="n">
        <v>45413</v>
      </c>
    </row>
    <row r="336">
      <c r="A336" t="inlineStr">
        <is>
          <t>Comercial</t>
        </is>
      </c>
      <c r="B336" t="n">
        <v>12845.8008116898</v>
      </c>
      <c r="C336" s="2" t="n">
        <v>45413</v>
      </c>
    </row>
    <row r="337">
      <c r="A337" t="inlineStr">
        <is>
          <t>Marketing</t>
        </is>
      </c>
      <c r="B337" t="n">
        <v>2909.110874222644</v>
      </c>
      <c r="C337" s="2" t="n">
        <v>45413</v>
      </c>
    </row>
    <row r="338">
      <c r="A338" t="inlineStr">
        <is>
          <t>Marketing</t>
        </is>
      </c>
      <c r="B338" t="n">
        <v>10322.18690976616</v>
      </c>
      <c r="C338" s="2" t="n">
        <v>45413</v>
      </c>
    </row>
    <row r="339">
      <c r="A339" t="inlineStr">
        <is>
          <t>Marketing</t>
        </is>
      </c>
      <c r="B339" t="n">
        <v>5524.916674502402</v>
      </c>
      <c r="C339" s="2" t="n">
        <v>45413</v>
      </c>
    </row>
    <row r="340">
      <c r="A340" t="inlineStr">
        <is>
          <t>Comercial</t>
        </is>
      </c>
      <c r="B340" t="n">
        <v>11647.86706979339</v>
      </c>
      <c r="C340" s="2" t="n">
        <v>45413</v>
      </c>
    </row>
    <row r="341">
      <c r="A341" t="inlineStr">
        <is>
          <t>Administrativo</t>
        </is>
      </c>
      <c r="B341" t="n">
        <v>10841.71510434487</v>
      </c>
      <c r="C341" s="2" t="n">
        <v>45413</v>
      </c>
    </row>
    <row r="342">
      <c r="A342" t="inlineStr">
        <is>
          <t>Administrativo</t>
        </is>
      </c>
      <c r="B342" t="n">
        <v>5000.779459002157</v>
      </c>
      <c r="C342" s="2" t="n">
        <v>45444</v>
      </c>
    </row>
    <row r="343">
      <c r="A343" t="inlineStr">
        <is>
          <t>Marketing</t>
        </is>
      </c>
      <c r="B343" t="n">
        <v>31756.64953377917</v>
      </c>
      <c r="C343" s="2" t="n">
        <v>45444</v>
      </c>
    </row>
    <row r="344">
      <c r="A344" t="inlineStr">
        <is>
          <t>Administrativo</t>
        </is>
      </c>
      <c r="B344" t="n">
        <v>4474.223216647881</v>
      </c>
      <c r="C344" s="2" t="n">
        <v>45444</v>
      </c>
    </row>
    <row r="345">
      <c r="A345" t="inlineStr">
        <is>
          <t>Comercial</t>
        </is>
      </c>
      <c r="B345" t="n">
        <v>3216.48646226953</v>
      </c>
      <c r="C345" s="2" t="n">
        <v>45444</v>
      </c>
    </row>
    <row r="346">
      <c r="A346" t="inlineStr">
        <is>
          <t>Comercial</t>
        </is>
      </c>
      <c r="B346" t="n">
        <v>8304.232206379556</v>
      </c>
      <c r="C346" s="2" t="n">
        <v>45444</v>
      </c>
    </row>
    <row r="347">
      <c r="A347" t="inlineStr">
        <is>
          <t>Administrativo</t>
        </is>
      </c>
      <c r="B347" t="n">
        <v>6718.275533997896</v>
      </c>
      <c r="C347" s="2" t="n">
        <v>45444</v>
      </c>
    </row>
    <row r="348">
      <c r="A348" t="inlineStr">
        <is>
          <t>Administrativo</t>
        </is>
      </c>
      <c r="B348" t="n">
        <v>14941.24637915534</v>
      </c>
      <c r="C348" s="2" t="n">
        <v>45444</v>
      </c>
    </row>
    <row r="349">
      <c r="A349" t="inlineStr">
        <is>
          <t>Marketing</t>
        </is>
      </c>
      <c r="B349" t="n">
        <v>31210.32226227739</v>
      </c>
      <c r="C349" s="2" t="n">
        <v>45444</v>
      </c>
    </row>
    <row r="350">
      <c r="A350" t="inlineStr">
        <is>
          <t>Administrativo</t>
        </is>
      </c>
      <c r="B350" t="n">
        <v>6336.404143138605</v>
      </c>
      <c r="C350" s="2" t="n">
        <v>45444</v>
      </c>
    </row>
    <row r="351">
      <c r="A351" t="inlineStr">
        <is>
          <t>Marketing</t>
        </is>
      </c>
      <c r="B351" t="n">
        <v>38184.70034926708</v>
      </c>
      <c r="C351" s="2" t="n">
        <v>45444</v>
      </c>
    </row>
    <row r="352">
      <c r="A352" t="inlineStr">
        <is>
          <t>Marketing</t>
        </is>
      </c>
      <c r="B352" t="n">
        <v>12615.90449360396</v>
      </c>
      <c r="C352" s="2" t="n">
        <v>45444</v>
      </c>
    </row>
    <row r="353">
      <c r="A353" t="inlineStr">
        <is>
          <t>Comercial</t>
        </is>
      </c>
      <c r="B353" t="n">
        <v>17401.98548089508</v>
      </c>
      <c r="C353" s="2" t="n">
        <v>45444</v>
      </c>
    </row>
    <row r="354">
      <c r="A354" t="inlineStr">
        <is>
          <t>Comercial</t>
        </is>
      </c>
      <c r="B354" t="n">
        <v>12305.37671122012</v>
      </c>
      <c r="C354" s="2" t="n">
        <v>45444</v>
      </c>
    </row>
    <row r="355">
      <c r="A355" t="inlineStr">
        <is>
          <t>Comercial</t>
        </is>
      </c>
      <c r="B355" t="n">
        <v>14175.46999107722</v>
      </c>
      <c r="C355" s="2" t="n">
        <v>45444</v>
      </c>
    </row>
    <row r="356">
      <c r="A356" t="inlineStr">
        <is>
          <t>Comercial</t>
        </is>
      </c>
      <c r="B356" t="n">
        <v>5059.455835513114</v>
      </c>
      <c r="C356" s="2" t="n">
        <v>45444</v>
      </c>
    </row>
    <row r="357">
      <c r="A357" t="inlineStr">
        <is>
          <t>Administrativo</t>
        </is>
      </c>
      <c r="B357" t="n">
        <v>7323.212089067651</v>
      </c>
      <c r="C357" s="2" t="n">
        <v>45444</v>
      </c>
    </row>
    <row r="358">
      <c r="A358" t="inlineStr">
        <is>
          <t>Comercial</t>
        </is>
      </c>
      <c r="B358" t="n">
        <v>8993.950168980557</v>
      </c>
      <c r="C358" s="2" t="n">
        <v>45444</v>
      </c>
    </row>
    <row r="359">
      <c r="A359" t="inlineStr">
        <is>
          <t>Administrativo</t>
        </is>
      </c>
      <c r="B359" t="n">
        <v>12683.48377071413</v>
      </c>
      <c r="C359" s="2" t="n">
        <v>45444</v>
      </c>
    </row>
    <row r="360">
      <c r="A360" t="inlineStr">
        <is>
          <t>Comercial</t>
        </is>
      </c>
      <c r="B360" t="n">
        <v>2419.292204246788</v>
      </c>
      <c r="C360" s="2" t="n">
        <v>45444</v>
      </c>
    </row>
    <row r="361">
      <c r="A361" t="inlineStr">
        <is>
          <t>Administrativo</t>
        </is>
      </c>
      <c r="B361" t="n">
        <v>5911.090408592316</v>
      </c>
      <c r="C361" s="2" t="n">
        <v>45444</v>
      </c>
    </row>
    <row r="362">
      <c r="A362" t="inlineStr">
        <is>
          <t>Marketing</t>
        </is>
      </c>
      <c r="B362" t="n">
        <v>14756.07286647595</v>
      </c>
      <c r="C362" s="2" t="n">
        <v>45474</v>
      </c>
    </row>
    <row r="363">
      <c r="A363" t="inlineStr">
        <is>
          <t>Administrativo</t>
        </is>
      </c>
      <c r="B363" t="n">
        <v>8173.525065580842</v>
      </c>
      <c r="C363" s="2" t="n">
        <v>45474</v>
      </c>
    </row>
    <row r="364">
      <c r="A364" t="inlineStr">
        <is>
          <t>Administrativo</t>
        </is>
      </c>
      <c r="B364" t="n">
        <v>6972.841643172107</v>
      </c>
      <c r="C364" s="2" t="n">
        <v>45474</v>
      </c>
    </row>
    <row r="365">
      <c r="A365" t="inlineStr">
        <is>
          <t>Comercial</t>
        </is>
      </c>
      <c r="B365" t="n">
        <v>4269.332431475284</v>
      </c>
      <c r="C365" s="2" t="n">
        <v>45474</v>
      </c>
    </row>
    <row r="366">
      <c r="A366" t="inlineStr">
        <is>
          <t>Administrativo</t>
        </is>
      </c>
      <c r="B366" t="n">
        <v>14664.1401721642</v>
      </c>
      <c r="C366" s="2" t="n">
        <v>45474</v>
      </c>
    </row>
    <row r="367">
      <c r="A367" t="inlineStr">
        <is>
          <t>Marketing</t>
        </is>
      </c>
      <c r="B367" t="n">
        <v>2260.342627035718</v>
      </c>
      <c r="C367" s="2" t="n">
        <v>45474</v>
      </c>
    </row>
    <row r="368">
      <c r="A368" t="inlineStr">
        <is>
          <t>Marketing</t>
        </is>
      </c>
      <c r="B368" t="n">
        <v>11583.34292509416</v>
      </c>
      <c r="C368" s="2" t="n">
        <v>45474</v>
      </c>
    </row>
    <row r="369">
      <c r="A369" t="inlineStr">
        <is>
          <t>Comercial</t>
        </is>
      </c>
      <c r="B369" t="n">
        <v>14390.15695470073</v>
      </c>
      <c r="C369" s="2" t="n">
        <v>45474</v>
      </c>
    </row>
    <row r="370">
      <c r="A370" t="inlineStr">
        <is>
          <t>Marketing</t>
        </is>
      </c>
      <c r="B370" t="n">
        <v>5167.537308830266</v>
      </c>
      <c r="C370" s="2" t="n">
        <v>45474</v>
      </c>
    </row>
    <row r="371">
      <c r="A371" t="inlineStr">
        <is>
          <t>Administrativo</t>
        </is>
      </c>
      <c r="B371" t="n">
        <v>10730.25976696948</v>
      </c>
      <c r="C371" s="2" t="n">
        <v>45474</v>
      </c>
    </row>
    <row r="372">
      <c r="A372" t="inlineStr">
        <is>
          <t>Marketing</t>
        </is>
      </c>
      <c r="B372" t="n">
        <v>3208.078876932069</v>
      </c>
      <c r="C372" s="2" t="n">
        <v>45474</v>
      </c>
    </row>
    <row r="373">
      <c r="A373" t="inlineStr">
        <is>
          <t>Comercial</t>
        </is>
      </c>
      <c r="B373" t="n">
        <v>6409.937356340446</v>
      </c>
      <c r="C373" s="2" t="n">
        <v>45474</v>
      </c>
    </row>
    <row r="374">
      <c r="A374" t="inlineStr">
        <is>
          <t>Administrativo</t>
        </is>
      </c>
      <c r="B374" t="n">
        <v>12242.72584779945</v>
      </c>
      <c r="C374" s="2" t="n">
        <v>45474</v>
      </c>
    </row>
    <row r="375">
      <c r="A375" t="inlineStr">
        <is>
          <t>Comercial</t>
        </is>
      </c>
      <c r="B375" t="n">
        <v>15889.10459572322</v>
      </c>
      <c r="C375" s="2" t="n">
        <v>45474</v>
      </c>
    </row>
    <row r="376">
      <c r="A376" t="inlineStr">
        <is>
          <t>Administrativo</t>
        </is>
      </c>
      <c r="B376" t="n">
        <v>9910.323364577287</v>
      </c>
      <c r="C376" s="2" t="n">
        <v>45474</v>
      </c>
    </row>
    <row r="377">
      <c r="A377" t="inlineStr">
        <is>
          <t>Marketing</t>
        </is>
      </c>
      <c r="B377" t="n">
        <v>8588.899613666274</v>
      </c>
      <c r="C377" s="2" t="n">
        <v>45474</v>
      </c>
    </row>
    <row r="378">
      <c r="A378" t="inlineStr">
        <is>
          <t>Comercial</t>
        </is>
      </c>
      <c r="B378" t="n">
        <v>4885.142721656092</v>
      </c>
      <c r="C378" s="2" t="n">
        <v>45474</v>
      </c>
    </row>
    <row r="379">
      <c r="A379" t="inlineStr">
        <is>
          <t>Comercial</t>
        </is>
      </c>
      <c r="B379" t="n">
        <v>3384.500916034742</v>
      </c>
      <c r="C379" s="2" t="n">
        <v>45474</v>
      </c>
    </row>
    <row r="380">
      <c r="A380" t="inlineStr">
        <is>
          <t>Administrativo</t>
        </is>
      </c>
      <c r="B380" t="n">
        <v>3529.437370156262</v>
      </c>
      <c r="C380" s="2" t="n">
        <v>45474</v>
      </c>
    </row>
    <row r="381">
      <c r="A381" t="inlineStr">
        <is>
          <t>Comercial</t>
        </is>
      </c>
      <c r="B381" t="n">
        <v>5946.773881499141</v>
      </c>
      <c r="C381" s="2" t="n">
        <v>45474</v>
      </c>
    </row>
    <row r="382">
      <c r="A382" t="inlineStr">
        <is>
          <t>Administrativo</t>
        </is>
      </c>
      <c r="B382" t="n">
        <v>6441.768524659971</v>
      </c>
      <c r="C382" s="2" t="n">
        <v>45505</v>
      </c>
    </row>
    <row r="383">
      <c r="A383" t="inlineStr">
        <is>
          <t>Administrativo</t>
        </is>
      </c>
      <c r="B383" t="n">
        <v>6951.823831642834</v>
      </c>
      <c r="C383" s="2" t="n">
        <v>45505</v>
      </c>
    </row>
    <row r="384">
      <c r="A384" t="inlineStr">
        <is>
          <t>Administrativo</t>
        </is>
      </c>
      <c r="B384" t="n">
        <v>6502.182991657046</v>
      </c>
      <c r="C384" s="2" t="n">
        <v>45505</v>
      </c>
    </row>
    <row r="385">
      <c r="A385" t="inlineStr">
        <is>
          <t>Administrativo</t>
        </is>
      </c>
      <c r="B385" t="n">
        <v>5107.719318564453</v>
      </c>
      <c r="C385" s="2" t="n">
        <v>45505</v>
      </c>
    </row>
    <row r="386">
      <c r="A386" t="inlineStr">
        <is>
          <t>Marketing</t>
        </is>
      </c>
      <c r="B386" t="n">
        <v>5175.849124663245</v>
      </c>
      <c r="C386" s="2" t="n">
        <v>45505</v>
      </c>
    </row>
    <row r="387">
      <c r="A387" t="inlineStr">
        <is>
          <t>Administrativo</t>
        </is>
      </c>
      <c r="B387" t="n">
        <v>12728.71940702766</v>
      </c>
      <c r="C387" s="2" t="n">
        <v>45505</v>
      </c>
    </row>
    <row r="388">
      <c r="A388" t="inlineStr">
        <is>
          <t>Comercial</t>
        </is>
      </c>
      <c r="B388" t="n">
        <v>6763.375200155076</v>
      </c>
      <c r="C388" s="2" t="n">
        <v>45505</v>
      </c>
    </row>
    <row r="389">
      <c r="A389" t="inlineStr">
        <is>
          <t>Marketing</t>
        </is>
      </c>
      <c r="B389" t="n">
        <v>8550.618748997418</v>
      </c>
      <c r="C389" s="2" t="n">
        <v>45505</v>
      </c>
    </row>
    <row r="390">
      <c r="A390" t="inlineStr">
        <is>
          <t>Comercial</t>
        </is>
      </c>
      <c r="B390" t="n">
        <v>16024.05192289202</v>
      </c>
      <c r="C390" s="2" t="n">
        <v>45505</v>
      </c>
    </row>
    <row r="391">
      <c r="A391" t="inlineStr">
        <is>
          <t>Marketing</t>
        </is>
      </c>
      <c r="B391" t="n">
        <v>2461.760848546455</v>
      </c>
      <c r="C391" s="2" t="n">
        <v>45505</v>
      </c>
    </row>
    <row r="392">
      <c r="A392" t="inlineStr">
        <is>
          <t>Administrativo</t>
        </is>
      </c>
      <c r="B392" t="n">
        <v>12221.58743784223</v>
      </c>
      <c r="C392" s="2" t="n">
        <v>45505</v>
      </c>
    </row>
    <row r="393">
      <c r="A393" t="inlineStr">
        <is>
          <t>Marketing</t>
        </is>
      </c>
      <c r="B393" t="n">
        <v>5681.78158207858</v>
      </c>
      <c r="C393" s="2" t="n">
        <v>45505</v>
      </c>
    </row>
    <row r="394">
      <c r="A394" t="inlineStr">
        <is>
          <t>Marketing</t>
        </is>
      </c>
      <c r="B394" t="n">
        <v>5619.287824937065</v>
      </c>
      <c r="C394" s="2" t="n">
        <v>45505</v>
      </c>
    </row>
    <row r="395">
      <c r="A395" t="inlineStr">
        <is>
          <t>Comercial</t>
        </is>
      </c>
      <c r="B395" t="n">
        <v>8500.267103707522</v>
      </c>
      <c r="C395" s="2" t="n">
        <v>45505</v>
      </c>
    </row>
    <row r="396">
      <c r="A396" t="inlineStr">
        <is>
          <t>Comercial</t>
        </is>
      </c>
      <c r="B396" t="n">
        <v>10217.98678723935</v>
      </c>
      <c r="C396" s="2" t="n">
        <v>45505</v>
      </c>
    </row>
    <row r="397">
      <c r="A397" t="inlineStr">
        <is>
          <t>Administrativo</t>
        </is>
      </c>
      <c r="B397" t="n">
        <v>7163.324106579744</v>
      </c>
      <c r="C397" s="2" t="n">
        <v>45505</v>
      </c>
    </row>
    <row r="398">
      <c r="A398" t="inlineStr">
        <is>
          <t>Marketing</t>
        </is>
      </c>
      <c r="B398" t="n">
        <v>5409.914426327554</v>
      </c>
      <c r="C398" s="2" t="n">
        <v>45505</v>
      </c>
    </row>
    <row r="399">
      <c r="A399" t="inlineStr">
        <is>
          <t>Marketing</t>
        </is>
      </c>
      <c r="B399" t="n">
        <v>6098.010411626556</v>
      </c>
      <c r="C399" s="2" t="n">
        <v>45505</v>
      </c>
    </row>
    <row r="400">
      <c r="A400" t="inlineStr">
        <is>
          <t>Marketing</t>
        </is>
      </c>
      <c r="B400" t="n">
        <v>6459.569689990578</v>
      </c>
      <c r="C400" s="2" t="n">
        <v>45505</v>
      </c>
    </row>
    <row r="401">
      <c r="A401" t="inlineStr">
        <is>
          <t>Administrativo</t>
        </is>
      </c>
      <c r="B401" t="n">
        <v>8922.255503272539</v>
      </c>
      <c r="C401" s="2" t="n">
        <v>45505</v>
      </c>
    </row>
    <row r="402">
      <c r="A402" t="inlineStr">
        <is>
          <t>Administrativo</t>
        </is>
      </c>
      <c r="B402" t="n">
        <v>11378.48687527351</v>
      </c>
      <c r="C402" s="2" t="n">
        <v>45536</v>
      </c>
    </row>
    <row r="403">
      <c r="A403" t="inlineStr">
        <is>
          <t>Administrativo</t>
        </is>
      </c>
      <c r="B403" t="n">
        <v>3836.614640581575</v>
      </c>
      <c r="C403" s="2" t="n">
        <v>45536</v>
      </c>
    </row>
    <row r="404">
      <c r="A404" t="inlineStr">
        <is>
          <t>Administrativo</t>
        </is>
      </c>
      <c r="B404" t="n">
        <v>4755.772381729101</v>
      </c>
      <c r="C404" s="2" t="n">
        <v>45536</v>
      </c>
    </row>
    <row r="405">
      <c r="A405" t="inlineStr">
        <is>
          <t>Administrativo</t>
        </is>
      </c>
      <c r="B405" t="n">
        <v>12643.55505296551</v>
      </c>
      <c r="C405" s="2" t="n">
        <v>45536</v>
      </c>
    </row>
    <row r="406">
      <c r="A406" t="inlineStr">
        <is>
          <t>Comercial</t>
        </is>
      </c>
      <c r="B406" t="n">
        <v>29725.74581761631</v>
      </c>
      <c r="C406" s="2" t="n">
        <v>45536</v>
      </c>
    </row>
    <row r="407">
      <c r="A407" t="inlineStr">
        <is>
          <t>Marketing</t>
        </is>
      </c>
      <c r="B407" t="n">
        <v>1148.809862344782</v>
      </c>
      <c r="C407" s="2" t="n">
        <v>45536</v>
      </c>
    </row>
    <row r="408">
      <c r="A408" t="inlineStr">
        <is>
          <t>Marketing</t>
        </is>
      </c>
      <c r="B408" t="n">
        <v>1999.642472842202</v>
      </c>
      <c r="C408" s="2" t="n">
        <v>45536</v>
      </c>
    </row>
    <row r="409">
      <c r="A409" t="inlineStr">
        <is>
          <t>Marketing</t>
        </is>
      </c>
      <c r="B409" t="n">
        <v>2453.493824226023</v>
      </c>
      <c r="C409" s="2" t="n">
        <v>45536</v>
      </c>
    </row>
    <row r="410">
      <c r="A410" t="inlineStr">
        <is>
          <t>Marketing</t>
        </is>
      </c>
      <c r="B410" t="n">
        <v>7222.598771314815</v>
      </c>
      <c r="C410" s="2" t="n">
        <v>45536</v>
      </c>
    </row>
    <row r="411">
      <c r="A411" t="inlineStr">
        <is>
          <t>Marketing</t>
        </is>
      </c>
      <c r="B411" t="n">
        <v>4724.76928805052</v>
      </c>
      <c r="C411" s="2" t="n">
        <v>45536</v>
      </c>
    </row>
    <row r="412">
      <c r="A412" t="inlineStr">
        <is>
          <t>Marketing</t>
        </is>
      </c>
      <c r="B412" t="n">
        <v>7062.749813095655</v>
      </c>
      <c r="C412" s="2" t="n">
        <v>45536</v>
      </c>
    </row>
    <row r="413">
      <c r="A413" t="inlineStr">
        <is>
          <t>Marketing</t>
        </is>
      </c>
      <c r="B413" t="n">
        <v>4738.561778228062</v>
      </c>
      <c r="C413" s="2" t="n">
        <v>45536</v>
      </c>
    </row>
    <row r="414">
      <c r="A414" t="inlineStr">
        <is>
          <t>Marketing</t>
        </is>
      </c>
      <c r="B414" t="n">
        <v>4115.803860896036</v>
      </c>
      <c r="C414" s="2" t="n">
        <v>45536</v>
      </c>
    </row>
    <row r="415">
      <c r="A415" t="inlineStr">
        <is>
          <t>Comercial</t>
        </is>
      </c>
      <c r="B415" t="n">
        <v>29176.60793051159</v>
      </c>
      <c r="C415" s="2" t="n">
        <v>45536</v>
      </c>
    </row>
    <row r="416">
      <c r="A416" t="inlineStr">
        <is>
          <t>Marketing</t>
        </is>
      </c>
      <c r="B416" t="n">
        <v>4941.411138816941</v>
      </c>
      <c r="C416" s="2" t="n">
        <v>45536</v>
      </c>
    </row>
    <row r="417">
      <c r="A417" t="inlineStr">
        <is>
          <t>Comercial</t>
        </is>
      </c>
      <c r="B417" t="n">
        <v>18285.95673613386</v>
      </c>
      <c r="C417" s="2" t="n">
        <v>45536</v>
      </c>
    </row>
    <row r="418">
      <c r="A418" t="inlineStr">
        <is>
          <t>Administrativo</t>
        </is>
      </c>
      <c r="B418" t="n">
        <v>13677.40115480518</v>
      </c>
      <c r="C418" s="2" t="n">
        <v>45536</v>
      </c>
    </row>
    <row r="419">
      <c r="A419" t="inlineStr">
        <is>
          <t>Marketing</t>
        </is>
      </c>
      <c r="B419" t="n">
        <v>6390.660633418345</v>
      </c>
      <c r="C419" s="2" t="n">
        <v>45536</v>
      </c>
    </row>
    <row r="420">
      <c r="A420" t="inlineStr">
        <is>
          <t>Administrativo</t>
        </is>
      </c>
      <c r="B420" t="n">
        <v>6127.908822397581</v>
      </c>
      <c r="C420" s="2" t="n">
        <v>45536</v>
      </c>
    </row>
    <row r="421">
      <c r="A421" t="inlineStr">
        <is>
          <t>Administrativo</t>
        </is>
      </c>
      <c r="B421" t="n">
        <v>14386.36785881683</v>
      </c>
      <c r="C421" s="2" t="n">
        <v>45536</v>
      </c>
    </row>
    <row r="422">
      <c r="A422" t="inlineStr">
        <is>
          <t>Administrativo</t>
        </is>
      </c>
      <c r="B422" t="n">
        <v>12727.60997640239</v>
      </c>
      <c r="C422" s="2" t="n">
        <v>45566</v>
      </c>
    </row>
    <row r="423">
      <c r="A423" t="inlineStr">
        <is>
          <t>Comercial</t>
        </is>
      </c>
      <c r="B423" t="n">
        <v>12794.38741902662</v>
      </c>
      <c r="C423" s="2" t="n">
        <v>45566</v>
      </c>
    </row>
    <row r="424">
      <c r="A424" t="inlineStr">
        <is>
          <t>Administrativo</t>
        </is>
      </c>
      <c r="B424" t="n">
        <v>3582.904844628572</v>
      </c>
      <c r="C424" s="2" t="n">
        <v>45566</v>
      </c>
    </row>
    <row r="425">
      <c r="A425" t="inlineStr">
        <is>
          <t>Administrativo</t>
        </is>
      </c>
      <c r="B425" t="n">
        <v>8217.04229962494</v>
      </c>
      <c r="C425" s="2" t="n">
        <v>45566</v>
      </c>
    </row>
    <row r="426">
      <c r="A426" t="inlineStr">
        <is>
          <t>Administrativo</t>
        </is>
      </c>
      <c r="B426" t="n">
        <v>8579.39821300776</v>
      </c>
      <c r="C426" s="2" t="n">
        <v>45566</v>
      </c>
    </row>
    <row r="427">
      <c r="A427" t="inlineStr">
        <is>
          <t>Marketing</t>
        </is>
      </c>
      <c r="B427" t="n">
        <v>4018.534126999954</v>
      </c>
      <c r="C427" s="2" t="n">
        <v>45566</v>
      </c>
    </row>
    <row r="428">
      <c r="A428" t="inlineStr">
        <is>
          <t>Marketing</t>
        </is>
      </c>
      <c r="B428" t="n">
        <v>2431.64010133674</v>
      </c>
      <c r="C428" s="2" t="n">
        <v>45566</v>
      </c>
    </row>
    <row r="429">
      <c r="A429" t="inlineStr">
        <is>
          <t>Comercial</t>
        </is>
      </c>
      <c r="B429" t="n">
        <v>14516.8886353584</v>
      </c>
      <c r="C429" s="2" t="n">
        <v>45566</v>
      </c>
    </row>
    <row r="430">
      <c r="A430" t="inlineStr">
        <is>
          <t>Comercial</t>
        </is>
      </c>
      <c r="B430" t="n">
        <v>4303.746813140561</v>
      </c>
      <c r="C430" s="2" t="n">
        <v>45566</v>
      </c>
    </row>
    <row r="431">
      <c r="A431" t="inlineStr">
        <is>
          <t>Marketing</t>
        </is>
      </c>
      <c r="B431" t="n">
        <v>7780.623805842457</v>
      </c>
      <c r="C431" s="2" t="n">
        <v>45566</v>
      </c>
    </row>
    <row r="432">
      <c r="A432" t="inlineStr">
        <is>
          <t>Comercial</t>
        </is>
      </c>
      <c r="B432" t="n">
        <v>17008.60711258511</v>
      </c>
      <c r="C432" s="2" t="n">
        <v>45566</v>
      </c>
    </row>
    <row r="433">
      <c r="A433" t="inlineStr">
        <is>
          <t>Marketing</t>
        </is>
      </c>
      <c r="B433" t="n">
        <v>10711.49400301964</v>
      </c>
      <c r="C433" s="2" t="n">
        <v>45566</v>
      </c>
    </row>
    <row r="434">
      <c r="A434" t="inlineStr">
        <is>
          <t>Administrativo</t>
        </is>
      </c>
      <c r="B434" t="n">
        <v>5610.784108740394</v>
      </c>
      <c r="C434" s="2" t="n">
        <v>45566</v>
      </c>
    </row>
    <row r="435">
      <c r="A435" t="inlineStr">
        <is>
          <t>Administrativo</t>
        </is>
      </c>
      <c r="B435" t="n">
        <v>13068.83228816645</v>
      </c>
      <c r="C435" s="2" t="n">
        <v>45566</v>
      </c>
    </row>
    <row r="436">
      <c r="A436" t="inlineStr">
        <is>
          <t>Comercial</t>
        </is>
      </c>
      <c r="B436" t="n">
        <v>2405.187095479635</v>
      </c>
      <c r="C436" s="2" t="n">
        <v>45566</v>
      </c>
    </row>
    <row r="437">
      <c r="A437" t="inlineStr">
        <is>
          <t>Marketing</t>
        </is>
      </c>
      <c r="B437" t="n">
        <v>1783.953219977875</v>
      </c>
      <c r="C437" s="2" t="n">
        <v>45566</v>
      </c>
    </row>
    <row r="438">
      <c r="A438" t="inlineStr">
        <is>
          <t>Marketing</t>
        </is>
      </c>
      <c r="B438" t="n">
        <v>7866.552903965796</v>
      </c>
      <c r="C438" s="2" t="n">
        <v>45566</v>
      </c>
    </row>
    <row r="439">
      <c r="A439" t="inlineStr">
        <is>
          <t>Comercial</t>
        </is>
      </c>
      <c r="B439" t="n">
        <v>8090.852218654659</v>
      </c>
      <c r="C439" s="2" t="n">
        <v>45566</v>
      </c>
    </row>
    <row r="440">
      <c r="A440" t="inlineStr">
        <is>
          <t>Marketing</t>
        </is>
      </c>
      <c r="B440" t="n">
        <v>5619.192748055131</v>
      </c>
      <c r="C440" s="2" t="n">
        <v>45566</v>
      </c>
    </row>
    <row r="441">
      <c r="A441" t="inlineStr">
        <is>
          <t>Administrativo</t>
        </is>
      </c>
      <c r="B441" t="n">
        <v>9337.734178825473</v>
      </c>
      <c r="C441" s="2" t="n">
        <v>45566</v>
      </c>
    </row>
    <row r="442">
      <c r="A442" t="inlineStr">
        <is>
          <t>Comercial</t>
        </is>
      </c>
      <c r="B442" t="n">
        <v>5391.806307233025</v>
      </c>
      <c r="C442" s="2" t="n">
        <v>45597</v>
      </c>
    </row>
    <row r="443">
      <c r="A443" t="inlineStr">
        <is>
          <t>Comercial</t>
        </is>
      </c>
      <c r="B443" t="n">
        <v>5703.383470381462</v>
      </c>
      <c r="C443" s="2" t="n">
        <v>45597</v>
      </c>
    </row>
    <row r="444">
      <c r="A444" t="inlineStr">
        <is>
          <t>Marketing</t>
        </is>
      </c>
      <c r="B444" t="n">
        <v>6639.856504996194</v>
      </c>
      <c r="C444" s="2" t="n">
        <v>45597</v>
      </c>
    </row>
    <row r="445">
      <c r="A445" t="inlineStr">
        <is>
          <t>Comercial</t>
        </is>
      </c>
      <c r="B445" t="n">
        <v>14166.35529176426</v>
      </c>
      <c r="C445" s="2" t="n">
        <v>45597</v>
      </c>
    </row>
    <row r="446">
      <c r="A446" t="inlineStr">
        <is>
          <t>Marketing</t>
        </is>
      </c>
      <c r="B446" t="n">
        <v>8042.776614638913</v>
      </c>
      <c r="C446" s="2" t="n">
        <v>45597</v>
      </c>
    </row>
    <row r="447">
      <c r="A447" t="inlineStr">
        <is>
          <t>Marketing</t>
        </is>
      </c>
      <c r="B447" t="n">
        <v>4692.492501663124</v>
      </c>
      <c r="C447" s="2" t="n">
        <v>45597</v>
      </c>
    </row>
    <row r="448">
      <c r="A448" t="inlineStr">
        <is>
          <t>Marketing</t>
        </is>
      </c>
      <c r="B448" t="n">
        <v>6075.506646092781</v>
      </c>
      <c r="C448" s="2" t="n">
        <v>45597</v>
      </c>
    </row>
    <row r="449">
      <c r="A449" t="inlineStr">
        <is>
          <t>Marketing</t>
        </is>
      </c>
      <c r="B449" t="n">
        <v>3374.913488919984</v>
      </c>
      <c r="C449" s="2" t="n">
        <v>45597</v>
      </c>
    </row>
    <row r="450">
      <c r="A450" t="inlineStr">
        <is>
          <t>Marketing</t>
        </is>
      </c>
      <c r="B450" t="n">
        <v>2376.150069105649</v>
      </c>
      <c r="C450" s="2" t="n">
        <v>45597</v>
      </c>
    </row>
    <row r="451">
      <c r="A451" t="inlineStr">
        <is>
          <t>Comercial</t>
        </is>
      </c>
      <c r="B451" t="n">
        <v>14610.05823560873</v>
      </c>
      <c r="C451" s="2" t="n">
        <v>45597</v>
      </c>
    </row>
    <row r="452">
      <c r="A452" t="inlineStr">
        <is>
          <t>Administrativo</t>
        </is>
      </c>
      <c r="B452" t="n">
        <v>5450.03631944653</v>
      </c>
      <c r="C452" s="2" t="n">
        <v>45597</v>
      </c>
    </row>
    <row r="453">
      <c r="A453" t="inlineStr">
        <is>
          <t>Administrativo</t>
        </is>
      </c>
      <c r="B453" t="n">
        <v>4310.963042066227</v>
      </c>
      <c r="C453" s="2" t="n">
        <v>45597</v>
      </c>
    </row>
    <row r="454">
      <c r="A454" t="inlineStr">
        <is>
          <t>Comercial</t>
        </is>
      </c>
      <c r="B454" t="n">
        <v>13189.24166688138</v>
      </c>
      <c r="C454" s="2" t="n">
        <v>45597</v>
      </c>
    </row>
    <row r="455">
      <c r="A455" t="inlineStr">
        <is>
          <t>Comercial</t>
        </is>
      </c>
      <c r="B455" t="n">
        <v>12041.6061188801</v>
      </c>
      <c r="C455" s="2" t="n">
        <v>45597</v>
      </c>
    </row>
    <row r="456">
      <c r="A456" t="inlineStr">
        <is>
          <t>Administrativo</t>
        </is>
      </c>
      <c r="B456" t="n">
        <v>10231.46513817503</v>
      </c>
      <c r="C456" s="2" t="n">
        <v>45597</v>
      </c>
    </row>
    <row r="457">
      <c r="A457" t="inlineStr">
        <is>
          <t>Administrativo</t>
        </is>
      </c>
      <c r="B457" t="n">
        <v>4975.629863005977</v>
      </c>
      <c r="C457" s="2" t="n">
        <v>45597</v>
      </c>
    </row>
    <row r="458">
      <c r="A458" t="inlineStr">
        <is>
          <t>Administrativo</t>
        </is>
      </c>
      <c r="B458" t="n">
        <v>5024.392001314853</v>
      </c>
      <c r="C458" s="2" t="n">
        <v>45597</v>
      </c>
    </row>
    <row r="459">
      <c r="A459" t="inlineStr">
        <is>
          <t>Administrativo</t>
        </is>
      </c>
      <c r="B459" t="n">
        <v>4870.434187213308</v>
      </c>
      <c r="C459" s="2" t="n">
        <v>45597</v>
      </c>
    </row>
    <row r="460">
      <c r="A460" t="inlineStr">
        <is>
          <t>Administrativo</t>
        </is>
      </c>
      <c r="B460" t="n">
        <v>4258.783743609829</v>
      </c>
      <c r="C460" s="2" t="n">
        <v>45597</v>
      </c>
    </row>
    <row r="461">
      <c r="A461" t="inlineStr">
        <is>
          <t>Marketing</t>
        </is>
      </c>
      <c r="B461" t="n">
        <v>8419.526194641225</v>
      </c>
      <c r="C461" s="2" t="n">
        <v>45597</v>
      </c>
    </row>
    <row r="462">
      <c r="A462" t="inlineStr">
        <is>
          <t>Comercial</t>
        </is>
      </c>
      <c r="B462" t="n">
        <v>15629.04780989066</v>
      </c>
      <c r="C462" s="2" t="n">
        <v>45627</v>
      </c>
    </row>
    <row r="463">
      <c r="A463" t="inlineStr">
        <is>
          <t>Marketing</t>
        </is>
      </c>
      <c r="B463" t="n">
        <v>11416.1271057966</v>
      </c>
      <c r="C463" s="2" t="n">
        <v>45627</v>
      </c>
    </row>
    <row r="464">
      <c r="A464" t="inlineStr">
        <is>
          <t>Administrativo</t>
        </is>
      </c>
      <c r="B464" t="n">
        <v>12297.21723888706</v>
      </c>
      <c r="C464" s="2" t="n">
        <v>45627</v>
      </c>
    </row>
    <row r="465">
      <c r="A465" t="inlineStr">
        <is>
          <t>Administrativo</t>
        </is>
      </c>
      <c r="B465" t="n">
        <v>7262.379578107598</v>
      </c>
      <c r="C465" s="2" t="n">
        <v>45627</v>
      </c>
    </row>
    <row r="466">
      <c r="A466" t="inlineStr">
        <is>
          <t>Administrativo</t>
        </is>
      </c>
      <c r="B466" t="n">
        <v>10502.98533983598</v>
      </c>
      <c r="C466" s="2" t="n">
        <v>45627</v>
      </c>
    </row>
    <row r="467">
      <c r="A467" t="inlineStr">
        <is>
          <t>Marketing</t>
        </is>
      </c>
      <c r="B467" t="n">
        <v>6605.071125782069</v>
      </c>
      <c r="C467" s="2" t="n">
        <v>45627</v>
      </c>
    </row>
    <row r="468">
      <c r="A468" t="inlineStr">
        <is>
          <t>Marketing</t>
        </is>
      </c>
      <c r="B468" t="n">
        <v>8831.56008559232</v>
      </c>
      <c r="C468" s="2" t="n">
        <v>45627</v>
      </c>
    </row>
    <row r="469">
      <c r="A469" t="inlineStr">
        <is>
          <t>Administrativo</t>
        </is>
      </c>
      <c r="B469" t="n">
        <v>8261.253004953211</v>
      </c>
      <c r="C469" s="2" t="n">
        <v>45627</v>
      </c>
    </row>
    <row r="470">
      <c r="A470" t="inlineStr">
        <is>
          <t>Marketing</t>
        </is>
      </c>
      <c r="B470" t="n">
        <v>4299.532886870107</v>
      </c>
      <c r="C470" s="2" t="n">
        <v>45627</v>
      </c>
    </row>
    <row r="471">
      <c r="A471" t="inlineStr">
        <is>
          <t>Marketing</t>
        </is>
      </c>
      <c r="B471" t="n">
        <v>7032.023884363201</v>
      </c>
      <c r="C471" s="2" t="n">
        <v>45627</v>
      </c>
    </row>
    <row r="472">
      <c r="A472" t="inlineStr">
        <is>
          <t>Administrativo</t>
        </is>
      </c>
      <c r="B472" t="n">
        <v>14529.68958127056</v>
      </c>
      <c r="C472" s="2" t="n">
        <v>45627</v>
      </c>
    </row>
    <row r="473">
      <c r="A473" t="inlineStr">
        <is>
          <t>Marketing</t>
        </is>
      </c>
      <c r="B473" t="n">
        <v>5231.543350294247</v>
      </c>
      <c r="C473" s="2" t="n">
        <v>45627</v>
      </c>
    </row>
    <row r="474">
      <c r="A474" t="inlineStr">
        <is>
          <t>Comercial</t>
        </is>
      </c>
      <c r="B474" t="n">
        <v>4487.338285960023</v>
      </c>
      <c r="C474" s="2" t="n">
        <v>45627</v>
      </c>
    </row>
    <row r="475">
      <c r="A475" t="inlineStr">
        <is>
          <t>Comercial</t>
        </is>
      </c>
      <c r="B475" t="n">
        <v>8929.857697333389</v>
      </c>
      <c r="C475" s="2" t="n">
        <v>45627</v>
      </c>
    </row>
    <row r="476">
      <c r="A476" t="inlineStr">
        <is>
          <t>Comercial</t>
        </is>
      </c>
      <c r="B476" t="n">
        <v>14729.26867941832</v>
      </c>
      <c r="C476" s="2" t="n">
        <v>45627</v>
      </c>
    </row>
    <row r="477">
      <c r="A477" t="inlineStr">
        <is>
          <t>Comercial</t>
        </is>
      </c>
      <c r="B477" t="n">
        <v>11481.51238456757</v>
      </c>
      <c r="C477" s="2" t="n">
        <v>45627</v>
      </c>
    </row>
    <row r="478">
      <c r="A478" t="inlineStr">
        <is>
          <t>Administrativo</t>
        </is>
      </c>
      <c r="B478" t="n">
        <v>10852.67275409718</v>
      </c>
      <c r="C478" s="2" t="n">
        <v>45627</v>
      </c>
    </row>
    <row r="479">
      <c r="A479" t="inlineStr">
        <is>
          <t>Administrativo</t>
        </is>
      </c>
      <c r="B479" t="n">
        <v>4466.033026270803</v>
      </c>
      <c r="C479" s="2" t="n">
        <v>45627</v>
      </c>
    </row>
    <row r="480">
      <c r="A480" t="inlineStr">
        <is>
          <t>Administrativo</t>
        </is>
      </c>
      <c r="B480" t="n">
        <v>10046.32650910038</v>
      </c>
      <c r="C480" s="2" t="n">
        <v>45627</v>
      </c>
    </row>
    <row r="481">
      <c r="A481" t="inlineStr">
        <is>
          <t>Comercial</t>
        </is>
      </c>
      <c r="B481" t="n">
        <v>7446.606160618989</v>
      </c>
      <c r="C481" s="2" t="n">
        <v>45627</v>
      </c>
    </row>
    <row r="482">
      <c r="A482" t="inlineStr">
        <is>
          <t>Armazenagem</t>
        </is>
      </c>
      <c r="B482" t="n">
        <v>3040.937899316445</v>
      </c>
      <c r="C482" s="2" t="n">
        <v>45658</v>
      </c>
    </row>
    <row r="483">
      <c r="A483" t="inlineStr">
        <is>
          <t>Frete</t>
        </is>
      </c>
      <c r="B483" t="n">
        <v>4781.918140275345</v>
      </c>
      <c r="C483" s="2" t="n">
        <v>45658</v>
      </c>
    </row>
    <row r="484">
      <c r="A484" t="inlineStr">
        <is>
          <t>Armazenagem</t>
        </is>
      </c>
      <c r="B484" t="n">
        <v>2891.488867011737</v>
      </c>
      <c r="C484" s="2" t="n">
        <v>45658</v>
      </c>
    </row>
    <row r="485">
      <c r="A485" t="inlineStr">
        <is>
          <t>Frete</t>
        </is>
      </c>
      <c r="B485" t="n">
        <v>8495.981175237015</v>
      </c>
      <c r="C485" s="2" t="n">
        <v>45658</v>
      </c>
    </row>
    <row r="486">
      <c r="A486" t="inlineStr">
        <is>
          <t>Frete</t>
        </is>
      </c>
      <c r="B486" t="n">
        <v>2632.901361888632</v>
      </c>
      <c r="C486" s="2" t="n">
        <v>45658</v>
      </c>
    </row>
    <row r="487">
      <c r="A487" t="inlineStr">
        <is>
          <t>Frete</t>
        </is>
      </c>
      <c r="B487" t="n">
        <v>9554.868853085398</v>
      </c>
      <c r="C487" s="2" t="n">
        <v>45658</v>
      </c>
    </row>
    <row r="488">
      <c r="A488" t="inlineStr">
        <is>
          <t>Matéria-prima</t>
        </is>
      </c>
      <c r="B488" t="n">
        <v>43315.86188104703</v>
      </c>
      <c r="C488" s="2" t="n">
        <v>45658</v>
      </c>
    </row>
    <row r="489">
      <c r="A489" t="inlineStr">
        <is>
          <t>Armazenagem</t>
        </is>
      </c>
      <c r="B489" t="n">
        <v>8546.958569767636</v>
      </c>
      <c r="C489" s="2" t="n">
        <v>45658</v>
      </c>
    </row>
    <row r="490">
      <c r="A490" t="inlineStr">
        <is>
          <t>Armazenagem</t>
        </is>
      </c>
      <c r="B490" t="n">
        <v>6633.130400212316</v>
      </c>
      <c r="C490" s="2" t="n">
        <v>45658</v>
      </c>
    </row>
    <row r="491">
      <c r="A491" t="inlineStr">
        <is>
          <t>Frete</t>
        </is>
      </c>
      <c r="B491" t="n">
        <v>7571.082628258625</v>
      </c>
      <c r="C491" s="2" t="n">
        <v>45658</v>
      </c>
    </row>
    <row r="492">
      <c r="A492" t="inlineStr">
        <is>
          <t>Matéria-prima</t>
        </is>
      </c>
      <c r="B492" t="n">
        <v>71489.32895638778</v>
      </c>
      <c r="C492" s="2" t="n">
        <v>45658</v>
      </c>
    </row>
    <row r="493">
      <c r="A493" t="inlineStr">
        <is>
          <t>Matéria-prima</t>
        </is>
      </c>
      <c r="B493" t="n">
        <v>50437.97814199288</v>
      </c>
      <c r="C493" s="2" t="n">
        <v>45658</v>
      </c>
    </row>
    <row r="494">
      <c r="A494" t="inlineStr">
        <is>
          <t>Armazenagem</t>
        </is>
      </c>
      <c r="B494" t="n">
        <v>5881.044605596938</v>
      </c>
      <c r="C494" s="2" t="n">
        <v>45658</v>
      </c>
    </row>
    <row r="495">
      <c r="A495" t="inlineStr">
        <is>
          <t>Matéria-prima</t>
        </is>
      </c>
      <c r="B495" t="n">
        <v>51170.78909412271</v>
      </c>
      <c r="C495" s="2" t="n">
        <v>45658</v>
      </c>
    </row>
    <row r="496">
      <c r="A496" t="inlineStr">
        <is>
          <t>Matéria-prima</t>
        </is>
      </c>
      <c r="B496" t="n">
        <v>57101.71491745355</v>
      </c>
      <c r="C496" s="2" t="n">
        <v>45658</v>
      </c>
    </row>
    <row r="497">
      <c r="A497" t="inlineStr">
        <is>
          <t>Frete</t>
        </is>
      </c>
      <c r="B497" t="n">
        <v>1358.671122657264</v>
      </c>
      <c r="C497" s="2" t="n">
        <v>45658</v>
      </c>
    </row>
    <row r="498">
      <c r="A498" t="inlineStr">
        <is>
          <t>Matéria-prima</t>
        </is>
      </c>
      <c r="B498" t="n">
        <v>41682.85480150915</v>
      </c>
      <c r="C498" s="2" t="n">
        <v>45658</v>
      </c>
    </row>
    <row r="499">
      <c r="A499" t="inlineStr">
        <is>
          <t>Frete</t>
        </is>
      </c>
      <c r="B499" t="n">
        <v>6434.46067933831</v>
      </c>
      <c r="C499" s="2" t="n">
        <v>45658</v>
      </c>
    </row>
    <row r="500">
      <c r="A500" t="inlineStr">
        <is>
          <t>Armazenagem</t>
        </is>
      </c>
      <c r="B500" t="n">
        <v>6359.967374251606</v>
      </c>
      <c r="C500" s="2" t="n">
        <v>45658</v>
      </c>
    </row>
    <row r="501">
      <c r="A501" t="inlineStr">
        <is>
          <t>Matéria-prima</t>
        </is>
      </c>
      <c r="B501" t="n">
        <v>73509.92405601898</v>
      </c>
      <c r="C501" s="2" t="n">
        <v>45658</v>
      </c>
    </row>
    <row r="502">
      <c r="A502" t="inlineStr">
        <is>
          <t>Comercial</t>
        </is>
      </c>
      <c r="B502" t="n">
        <v>13024.20650824222</v>
      </c>
      <c r="C502" s="2" t="n">
        <v>45658</v>
      </c>
    </row>
    <row r="503">
      <c r="A503" t="inlineStr">
        <is>
          <t>Marketing</t>
        </is>
      </c>
      <c r="B503" t="n">
        <v>11416.1271057966</v>
      </c>
      <c r="C503" s="2" t="n">
        <v>45658</v>
      </c>
    </row>
    <row r="504">
      <c r="A504" t="inlineStr">
        <is>
          <t>Administrativo</t>
        </is>
      </c>
      <c r="B504" t="n">
        <v>12297.21723888706</v>
      </c>
      <c r="C504" s="2" t="n">
        <v>45658</v>
      </c>
    </row>
    <row r="505">
      <c r="A505" t="inlineStr">
        <is>
          <t>Administrativo</t>
        </is>
      </c>
      <c r="B505" t="n">
        <v>7262.379578107598</v>
      </c>
      <c r="C505" s="2" t="n">
        <v>45658</v>
      </c>
    </row>
    <row r="506">
      <c r="A506" t="inlineStr">
        <is>
          <t>Administrativo</t>
        </is>
      </c>
      <c r="B506" t="n">
        <v>10502.98533983598</v>
      </c>
      <c r="C506" s="2" t="n">
        <v>45658</v>
      </c>
    </row>
    <row r="507">
      <c r="A507" t="inlineStr">
        <is>
          <t>Marketing</t>
        </is>
      </c>
      <c r="B507" t="n">
        <v>6605.071125782069</v>
      </c>
      <c r="C507" s="2" t="n">
        <v>45658</v>
      </c>
    </row>
    <row r="508">
      <c r="A508" t="inlineStr">
        <is>
          <t>Marketing</t>
        </is>
      </c>
      <c r="B508" t="n">
        <v>8831.56008559232</v>
      </c>
      <c r="C508" s="2" t="n">
        <v>45658</v>
      </c>
    </row>
    <row r="509">
      <c r="A509" t="inlineStr">
        <is>
          <t>Administrativo</t>
        </is>
      </c>
      <c r="B509" t="n">
        <v>8261.253004953211</v>
      </c>
      <c r="C509" s="2" t="n">
        <v>45658</v>
      </c>
    </row>
    <row r="510">
      <c r="A510" t="inlineStr">
        <is>
          <t>Marketing</t>
        </is>
      </c>
      <c r="B510" t="n">
        <v>4299.532886870107</v>
      </c>
      <c r="C510" s="2" t="n">
        <v>45658</v>
      </c>
    </row>
    <row r="511">
      <c r="A511" t="inlineStr">
        <is>
          <t>Marketing</t>
        </is>
      </c>
      <c r="B511" t="n">
        <v>7032.023884363201</v>
      </c>
      <c r="C511" s="2" t="n">
        <v>45658</v>
      </c>
    </row>
    <row r="512">
      <c r="A512" t="inlineStr">
        <is>
          <t>Administrativo</t>
        </is>
      </c>
      <c r="B512" t="n">
        <v>14529.68958127056</v>
      </c>
      <c r="C512" s="2" t="n">
        <v>45658</v>
      </c>
    </row>
    <row r="513">
      <c r="A513" t="inlineStr">
        <is>
          <t>Marketing</t>
        </is>
      </c>
      <c r="B513" t="n">
        <v>5231.543350294247</v>
      </c>
      <c r="C513" s="2" t="n">
        <v>45658</v>
      </c>
    </row>
    <row r="514">
      <c r="A514" t="inlineStr">
        <is>
          <t>Comercial</t>
        </is>
      </c>
      <c r="B514" t="n">
        <v>3739.448571633353</v>
      </c>
      <c r="C514" s="2" t="n">
        <v>45658</v>
      </c>
    </row>
    <row r="515">
      <c r="A515" t="inlineStr">
        <is>
          <t>Comercial</t>
        </is>
      </c>
      <c r="B515" t="n">
        <v>7441.548081111158</v>
      </c>
      <c r="C515" s="2" t="n">
        <v>45658</v>
      </c>
    </row>
    <row r="516">
      <c r="A516" t="inlineStr">
        <is>
          <t>Comercial</t>
        </is>
      </c>
      <c r="B516" t="n">
        <v>12274.39056618193</v>
      </c>
      <c r="C516" s="2" t="n">
        <v>45658</v>
      </c>
    </row>
    <row r="517">
      <c r="A517" t="inlineStr">
        <is>
          <t>Comercial</t>
        </is>
      </c>
      <c r="B517" t="n">
        <v>9567.926987139639</v>
      </c>
      <c r="C517" s="2" t="n">
        <v>45658</v>
      </c>
    </row>
    <row r="518">
      <c r="A518" t="inlineStr">
        <is>
          <t>Administrativo</t>
        </is>
      </c>
      <c r="B518" t="n">
        <v>10852.67275409718</v>
      </c>
      <c r="C518" s="2" t="n">
        <v>45658</v>
      </c>
    </row>
    <row r="519">
      <c r="A519" t="inlineStr">
        <is>
          <t>Administrativo</t>
        </is>
      </c>
      <c r="B519" t="n">
        <v>4466.033026270803</v>
      </c>
      <c r="C519" s="2" t="n">
        <v>45658</v>
      </c>
    </row>
    <row r="520">
      <c r="A520" t="inlineStr">
        <is>
          <t>Administrativo</t>
        </is>
      </c>
      <c r="B520" t="n">
        <v>10046.32650910038</v>
      </c>
      <c r="C520" s="2" t="n">
        <v>45658</v>
      </c>
    </row>
    <row r="521">
      <c r="A521" t="inlineStr">
        <is>
          <t>Comercial</t>
        </is>
      </c>
      <c r="B521" t="n">
        <v>6205.505133849158</v>
      </c>
      <c r="C521" s="2" t="n">
        <v>45658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TASSIO_ROG_PC</dc:creator>
  <dcterms:created xsi:type="dcterms:W3CDTF">2015-06-05T18:17:20Z</dcterms:created>
  <dcterms:modified xsi:type="dcterms:W3CDTF">2025-11-02T23:10:58Z</dcterms:modified>
  <cp:lastModifiedBy>Victor Cordeiro</cp:lastModifiedBy>
</cp:coreProperties>
</file>